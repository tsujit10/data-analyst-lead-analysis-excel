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\"/>
    </mc:Choice>
  </mc:AlternateContent>
  <xr:revisionPtr revIDLastSave="0" documentId="13_ncr:1_{68582B99-4608-4090-A65B-38B525AE3F4C}" xr6:coauthVersionLast="47" xr6:coauthVersionMax="47" xr10:uidLastSave="{00000000-0000-0000-0000-000000000000}"/>
  <bookViews>
    <workbookView xWindow="-108" yWindow="-108" windowWidth="23256" windowHeight="12456" firstSheet="3" activeTab="7" xr2:uid="{640A8E82-39AD-4ACC-BBA8-38FDDE2ED850}"/>
  </bookViews>
  <sheets>
    <sheet name="RAW_DATA" sheetId="1" r:id="rId1"/>
    <sheet name="CLEAN_DATA" sheetId="2" r:id="rId2"/>
    <sheet name="Counsellor Analysis" sheetId="3" r:id="rId3"/>
    <sheet name="Chat_Call Analysis" sheetId="4" r:id="rId4"/>
    <sheet name="Conversion Analysis" sheetId="5" r:id="rId5"/>
    <sheet name="Course_State Analysis" sheetId="6" r:id="rId6"/>
    <sheet name="Assumptions &amp; Methodology" sheetId="8" r:id="rId7"/>
    <sheet name="Dashboard" sheetId="7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7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2" i="2"/>
  <c r="H7" i="3"/>
  <c r="G7" i="3"/>
  <c r="F7" i="3"/>
  <c r="C7" i="3"/>
  <c r="E7" i="3"/>
  <c r="D7" i="3"/>
  <c r="B7" i="3"/>
  <c r="K4" i="7"/>
  <c r="G4" i="7"/>
  <c r="C4" i="7"/>
  <c r="G28" i="6"/>
  <c r="G29" i="6"/>
  <c r="G30" i="6"/>
  <c r="G31" i="6"/>
  <c r="G27" i="6"/>
  <c r="H28" i="6"/>
  <c r="H29" i="6"/>
  <c r="H30" i="6"/>
  <c r="H31" i="6"/>
  <c r="H27" i="6"/>
  <c r="H6" i="6"/>
  <c r="G6" i="6"/>
  <c r="H7" i="6"/>
  <c r="G7" i="6" s="1"/>
  <c r="H8" i="6"/>
  <c r="H9" i="6"/>
  <c r="H10" i="6"/>
  <c r="D37" i="6"/>
  <c r="C37" i="6"/>
  <c r="B37" i="6"/>
  <c r="D33" i="6"/>
  <c r="D34" i="6"/>
  <c r="B28" i="6"/>
  <c r="B29" i="6"/>
  <c r="B30" i="6"/>
  <c r="B31" i="6"/>
  <c r="B32" i="6"/>
  <c r="B33" i="6"/>
  <c r="B34" i="6"/>
  <c r="B35" i="6"/>
  <c r="B36" i="6"/>
  <c r="C28" i="6"/>
  <c r="D28" i="6" s="1"/>
  <c r="C29" i="6"/>
  <c r="D29" i="6" s="1"/>
  <c r="C30" i="6"/>
  <c r="D30" i="6" s="1"/>
  <c r="C31" i="6"/>
  <c r="D31" i="6" s="1"/>
  <c r="C32" i="6"/>
  <c r="D32" i="6" s="1"/>
  <c r="C33" i="6"/>
  <c r="C34" i="6"/>
  <c r="C35" i="6"/>
  <c r="D35" i="6" s="1"/>
  <c r="C36" i="6"/>
  <c r="D36" i="6" s="1"/>
  <c r="C27" i="6"/>
  <c r="D27" i="6" s="1"/>
  <c r="B27" i="6"/>
  <c r="C3" i="6"/>
  <c r="C4" i="6"/>
  <c r="C5" i="6"/>
  <c r="C6" i="6"/>
  <c r="D6" i="6" s="1"/>
  <c r="C7" i="6"/>
  <c r="C8" i="6"/>
  <c r="C9" i="6"/>
  <c r="C10" i="6"/>
  <c r="C11" i="6"/>
  <c r="C12" i="6"/>
  <c r="C13" i="6"/>
  <c r="C14" i="6"/>
  <c r="D14" i="6" s="1"/>
  <c r="C15" i="6"/>
  <c r="C16" i="6"/>
  <c r="C17" i="6"/>
  <c r="C18" i="6"/>
  <c r="C19" i="6"/>
  <c r="C20" i="6"/>
  <c r="C21" i="6"/>
  <c r="C2" i="6"/>
  <c r="C10" i="5"/>
  <c r="D10" i="5" s="1"/>
  <c r="C11" i="5"/>
  <c r="C12" i="5"/>
  <c r="C13" i="5"/>
  <c r="C14" i="5"/>
  <c r="C15" i="5"/>
  <c r="C16" i="5"/>
  <c r="D16" i="5" s="1"/>
  <c r="C17" i="5"/>
  <c r="D17" i="5" s="1"/>
  <c r="C18" i="5"/>
  <c r="C19" i="5"/>
  <c r="C20" i="5"/>
  <c r="C21" i="5"/>
  <c r="C22" i="5"/>
  <c r="C23" i="5"/>
  <c r="D23" i="5" s="1"/>
  <c r="C24" i="5"/>
  <c r="D24" i="5" s="1"/>
  <c r="C25" i="5"/>
  <c r="D25" i="5" s="1"/>
  <c r="C26" i="5"/>
  <c r="C27" i="5"/>
  <c r="C28" i="5"/>
  <c r="C29" i="5"/>
  <c r="D21" i="5"/>
  <c r="D28" i="5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" i="6"/>
  <c r="B22" i="6" s="1"/>
  <c r="B10" i="5"/>
  <c r="B11" i="5"/>
  <c r="B30" i="5" s="1"/>
  <c r="D11" i="5"/>
  <c r="B12" i="5"/>
  <c r="D12" i="5"/>
  <c r="B13" i="5"/>
  <c r="D13" i="5"/>
  <c r="B14" i="5"/>
  <c r="D14" i="5"/>
  <c r="B15" i="5"/>
  <c r="D15" i="5"/>
  <c r="B16" i="5"/>
  <c r="B17" i="5"/>
  <c r="B18" i="5"/>
  <c r="D18" i="5"/>
  <c r="B19" i="5"/>
  <c r="D19" i="5"/>
  <c r="B20" i="5"/>
  <c r="D20" i="5"/>
  <c r="B21" i="5"/>
  <c r="B22" i="5"/>
  <c r="D22" i="5"/>
  <c r="B23" i="5"/>
  <c r="B24" i="5"/>
  <c r="B25" i="5"/>
  <c r="B26" i="5"/>
  <c r="D26" i="5" s="1"/>
  <c r="B27" i="5"/>
  <c r="D27" i="5"/>
  <c r="B28" i="5"/>
  <c r="B29" i="5"/>
  <c r="D29" i="5"/>
  <c r="F12" i="4"/>
  <c r="E12" i="4"/>
  <c r="D12" i="4"/>
  <c r="C12" i="4"/>
  <c r="B12" i="4"/>
  <c r="G10" i="5"/>
  <c r="G11" i="5"/>
  <c r="G12" i="5"/>
  <c r="G13" i="5"/>
  <c r="G14" i="5"/>
  <c r="H10" i="5"/>
  <c r="H11" i="5"/>
  <c r="H12" i="5"/>
  <c r="H13" i="5"/>
  <c r="H14" i="5"/>
  <c r="G2" i="5"/>
  <c r="G3" i="5"/>
  <c r="G4" i="5"/>
  <c r="G5" i="5"/>
  <c r="G6" i="5"/>
  <c r="F2" i="5"/>
  <c r="F3" i="5"/>
  <c r="F4" i="5"/>
  <c r="F5" i="5"/>
  <c r="F6" i="5"/>
  <c r="B3" i="5"/>
  <c r="B2" i="5"/>
  <c r="C3" i="4"/>
  <c r="D3" i="4"/>
  <c r="E3" i="4"/>
  <c r="F3" i="4"/>
  <c r="G3" i="4"/>
  <c r="C4" i="4"/>
  <c r="D4" i="4"/>
  <c r="E4" i="4"/>
  <c r="F4" i="4"/>
  <c r="G4" i="4"/>
  <c r="C5" i="4"/>
  <c r="D5" i="4"/>
  <c r="E5" i="4"/>
  <c r="F5" i="4"/>
  <c r="G5" i="4"/>
  <c r="C6" i="4"/>
  <c r="D6" i="4"/>
  <c r="E6" i="4"/>
  <c r="F6" i="4"/>
  <c r="G6" i="4"/>
  <c r="C7" i="4"/>
  <c r="D7" i="4"/>
  <c r="E7" i="4"/>
  <c r="F7" i="4"/>
  <c r="G7" i="4"/>
  <c r="C8" i="4"/>
  <c r="D8" i="4"/>
  <c r="E8" i="4"/>
  <c r="F8" i="4"/>
  <c r="G8" i="4"/>
  <c r="C9" i="4"/>
  <c r="D9" i="4"/>
  <c r="E9" i="4"/>
  <c r="F9" i="4"/>
  <c r="G9" i="4"/>
  <c r="C10" i="4"/>
  <c r="D10" i="4"/>
  <c r="E10" i="4"/>
  <c r="F10" i="4"/>
  <c r="G10" i="4"/>
  <c r="C11" i="4"/>
  <c r="D11" i="4"/>
  <c r="E11" i="4"/>
  <c r="F11" i="4"/>
  <c r="G11" i="4"/>
  <c r="D2" i="4"/>
  <c r="E2" i="4"/>
  <c r="F2" i="4"/>
  <c r="G2" i="4"/>
  <c r="G12" i="4" s="1"/>
  <c r="C2" i="4"/>
  <c r="B2" i="4"/>
  <c r="B3" i="4"/>
  <c r="B4" i="4"/>
  <c r="B5" i="4"/>
  <c r="B6" i="4"/>
  <c r="B7" i="4"/>
  <c r="B8" i="4"/>
  <c r="B9" i="4"/>
  <c r="B10" i="4"/>
  <c r="B11" i="4"/>
  <c r="H6" i="3"/>
  <c r="H2" i="3"/>
  <c r="G3" i="3"/>
  <c r="G4" i="3"/>
  <c r="G5" i="3"/>
  <c r="G6" i="3"/>
  <c r="G2" i="3"/>
  <c r="F3" i="3"/>
  <c r="H3" i="3" s="1"/>
  <c r="F4" i="3"/>
  <c r="H4" i="3" s="1"/>
  <c r="F5" i="3"/>
  <c r="H5" i="3" s="1"/>
  <c r="F6" i="3"/>
  <c r="F2" i="3"/>
  <c r="E3" i="3"/>
  <c r="E4" i="3"/>
  <c r="E5" i="3"/>
  <c r="E6" i="3"/>
  <c r="E2" i="3"/>
  <c r="D3" i="3"/>
  <c r="D4" i="3"/>
  <c r="D5" i="3"/>
  <c r="D6" i="3"/>
  <c r="D2" i="3"/>
  <c r="C3" i="3"/>
  <c r="C4" i="3"/>
  <c r="C5" i="3"/>
  <c r="C6" i="3"/>
  <c r="C2" i="3"/>
  <c r="B3" i="3"/>
  <c r="B4" i="3"/>
  <c r="B5" i="3"/>
  <c r="B6" i="3"/>
  <c r="B2" i="3"/>
  <c r="P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2" i="2"/>
  <c r="D10" i="3" l="1"/>
  <c r="O4" i="7" s="1"/>
  <c r="G8" i="6"/>
  <c r="G10" i="6"/>
  <c r="G9" i="6"/>
  <c r="D21" i="6"/>
  <c r="D13" i="6"/>
  <c r="D5" i="6"/>
  <c r="D20" i="6"/>
  <c r="D2" i="6"/>
  <c r="D17" i="6"/>
  <c r="D9" i="6"/>
  <c r="D12" i="6"/>
  <c r="D4" i="6"/>
  <c r="D19" i="6"/>
  <c r="D11" i="6"/>
  <c r="D3" i="6"/>
  <c r="D18" i="6"/>
  <c r="D10" i="6"/>
  <c r="D16" i="6"/>
  <c r="D8" i="6"/>
  <c r="D15" i="6"/>
  <c r="D7" i="6"/>
  <c r="C22" i="6"/>
  <c r="D22" i="6" s="1"/>
  <c r="C30" i="5"/>
  <c r="D30" i="5" s="1"/>
  <c r="G15" i="5"/>
  <c r="F7" i="5"/>
  <c r="H15" i="5"/>
  <c r="I15" i="5" s="1"/>
  <c r="H2" i="5"/>
  <c r="G7" i="5"/>
  <c r="H4" i="5"/>
  <c r="I10" i="5"/>
  <c r="I11" i="5"/>
  <c r="H3" i="5"/>
  <c r="H5" i="5"/>
  <c r="H6" i="5"/>
  <c r="B4" i="5"/>
  <c r="H7" i="5" l="1"/>
  <c r="I13" i="5"/>
  <c r="I12" i="5"/>
  <c r="I14" i="5" l="1"/>
</calcChain>
</file>

<file path=xl/sharedStrings.xml><?xml version="1.0" encoding="utf-8"?>
<sst xmlns="http://schemas.openxmlformats.org/spreadsheetml/2006/main" count="1323" uniqueCount="187">
  <si>
    <t>Record ID</t>
  </si>
  <si>
    <t>Category</t>
  </si>
  <si>
    <t>Student Name</t>
  </si>
  <si>
    <t>Course / Interest</t>
  </si>
  <si>
    <t>State / Country</t>
  </si>
  <si>
    <t>Counsellor Name</t>
  </si>
  <si>
    <t>Lead Status</t>
  </si>
  <si>
    <t>Chat/Call Status</t>
  </si>
  <si>
    <t>Lead Source</t>
  </si>
  <si>
    <t>General</t>
  </si>
  <si>
    <t>Neha Singh</t>
  </si>
  <si>
    <t>General Education Counselling</t>
  </si>
  <si>
    <t>Rajasthan</t>
  </si>
  <si>
    <t>Rahul</t>
  </si>
  <si>
    <t>New</t>
  </si>
  <si>
    <t>Fee details shared</t>
  </si>
  <si>
    <t>WhatsApp</t>
  </si>
  <si>
    <t>Rajitha</t>
  </si>
  <si>
    <t>West Bengal</t>
  </si>
  <si>
    <t>Anjali</t>
  </si>
  <si>
    <t>Follow-up</t>
  </si>
  <si>
    <t>Interested in admission</t>
  </si>
  <si>
    <t>Facebook</t>
  </si>
  <si>
    <t>GUNJA MUKUNDA</t>
  </si>
  <si>
    <t>Telangana</t>
  </si>
  <si>
    <t>Not Interested</t>
  </si>
  <si>
    <t>Asked for college options</t>
  </si>
  <si>
    <t>Instagram</t>
  </si>
  <si>
    <t>Sai Charan. AR</t>
  </si>
  <si>
    <t>Karnataka</t>
  </si>
  <si>
    <t>Pending</t>
  </si>
  <si>
    <t>Wrong/unclear requirement</t>
  </si>
  <si>
    <t>Referral</t>
  </si>
  <si>
    <t>Krishna A</t>
  </si>
  <si>
    <t>Odisha</t>
  </si>
  <si>
    <t>Call back tomorrow</t>
  </si>
  <si>
    <t>Website</t>
  </si>
  <si>
    <t>BUVAN.G</t>
  </si>
  <si>
    <t>Andhra Pradesh</t>
  </si>
  <si>
    <t>Pheba Xavier</t>
  </si>
  <si>
    <t>Kerala</t>
  </si>
  <si>
    <t>Priya</t>
  </si>
  <si>
    <t>Sasik</t>
  </si>
  <si>
    <t>Delhi</t>
  </si>
  <si>
    <t>Hdhdbhd</t>
  </si>
  <si>
    <t>Maharashtra</t>
  </si>
  <si>
    <t>Arun</t>
  </si>
  <si>
    <t>Interested - follow up</t>
  </si>
  <si>
    <t>Boitumelo</t>
  </si>
  <si>
    <t>Bed Foundation</t>
  </si>
  <si>
    <t>Tamil Nadu</t>
  </si>
  <si>
    <t>Requested course details</t>
  </si>
  <si>
    <t>Chaitra</t>
  </si>
  <si>
    <t>Binita nisika</t>
  </si>
  <si>
    <t>Sneha</t>
  </si>
  <si>
    <t>Ankush</t>
  </si>
  <si>
    <t>Bachelor of Public Health</t>
  </si>
  <si>
    <t>Not reachable</t>
  </si>
  <si>
    <t>Md ahil raza</t>
  </si>
  <si>
    <t>School Education</t>
  </si>
  <si>
    <t>Imsunepla</t>
  </si>
  <si>
    <t>Lakshmi P N</t>
  </si>
  <si>
    <t>lakshika tomer</t>
  </si>
  <si>
    <t>Intellectual Property Rights</t>
  </si>
  <si>
    <t>roopa</t>
  </si>
  <si>
    <t>Deepak reddy mr</t>
  </si>
  <si>
    <t>Science / PCMB</t>
  </si>
  <si>
    <t>Need eligibility check</t>
  </si>
  <si>
    <t>Sanjaykumar Somnath Dole</t>
  </si>
  <si>
    <t>Sanitary Inspector</t>
  </si>
  <si>
    <t>Application initiated</t>
  </si>
  <si>
    <t>Anonymous</t>
  </si>
  <si>
    <t>NAGARATHAN M N</t>
  </si>
  <si>
    <t>Aadesh.R</t>
  </si>
  <si>
    <t>Bachelor of Business Administration</t>
  </si>
  <si>
    <t>Converted</t>
  </si>
  <si>
    <t>Mounika Upparapalli</t>
  </si>
  <si>
    <t>Junuthula vinaykumar</t>
  </si>
  <si>
    <t>Ashok Kumar Maharana</t>
  </si>
  <si>
    <t>Test</t>
  </si>
  <si>
    <t>sdfgsdfg</t>
  </si>
  <si>
    <t>Fashion Design</t>
  </si>
  <si>
    <t>S Jenitha</t>
  </si>
  <si>
    <t>Fashion Communication</t>
  </si>
  <si>
    <t>Chandrashekhar v</t>
  </si>
  <si>
    <t>Zoya mariyam</t>
  </si>
  <si>
    <t>Janani Janani</t>
  </si>
  <si>
    <t>Design</t>
  </si>
  <si>
    <t>Sannidhi</t>
  </si>
  <si>
    <t>Bachelor of Design</t>
  </si>
  <si>
    <t>Rachita soni</t>
  </si>
  <si>
    <t>B.Des Animation Film Design</t>
  </si>
  <si>
    <t>nishanth g</t>
  </si>
  <si>
    <t>B.Des Game Design</t>
  </si>
  <si>
    <t>Bhuvanesh</t>
  </si>
  <si>
    <t>Hafsah Khanum</t>
  </si>
  <si>
    <t>Interior Design</t>
  </si>
  <si>
    <t>BHA</t>
  </si>
  <si>
    <t>Nikhil</t>
  </si>
  <si>
    <t>Shaita Sarkar</t>
  </si>
  <si>
    <t>Bachelor of Hospital Administration</t>
  </si>
  <si>
    <t>Akarsh Shyn</t>
  </si>
  <si>
    <t>SHRAVYA</t>
  </si>
  <si>
    <t>R Chirag Skanda</t>
  </si>
  <si>
    <t>BVA</t>
  </si>
  <si>
    <t>Avani</t>
  </si>
  <si>
    <t>Animation &amp; VFX</t>
  </si>
  <si>
    <t>Rajappa</t>
  </si>
  <si>
    <t>Bachelor of Visual Arts</t>
  </si>
  <si>
    <t>Mehr</t>
  </si>
  <si>
    <t>BArch</t>
  </si>
  <si>
    <t>Fathima Haneen</t>
  </si>
  <si>
    <t>Bachelor of Architecture</t>
  </si>
  <si>
    <t>Soni Thomas</t>
  </si>
  <si>
    <t>sankar.s</t>
  </si>
  <si>
    <t>BVoc</t>
  </si>
  <si>
    <t>ADHARS K MENON</t>
  </si>
  <si>
    <t>Bachelor of Vocation</t>
  </si>
  <si>
    <t>Sneha Mehra</t>
  </si>
  <si>
    <t>BHM</t>
  </si>
  <si>
    <t>Umar</t>
  </si>
  <si>
    <t>Bachelor of Hotel Management / Culinary Arts</t>
  </si>
  <si>
    <t>Review Required</t>
  </si>
  <si>
    <t>Review Reason</t>
  </si>
  <si>
    <t>Yes</t>
  </si>
  <si>
    <t>YES</t>
  </si>
  <si>
    <t>NO</t>
  </si>
  <si>
    <t>Suspicious/gibberish name</t>
  </si>
  <si>
    <t>Placeholder/anonymous name</t>
  </si>
  <si>
    <t>Test/placeholder record</t>
  </si>
  <si>
    <t>No</t>
  </si>
  <si>
    <t>Duplicate Status</t>
  </si>
  <si>
    <t>Total Duplicate</t>
  </si>
  <si>
    <t>Counsellor</t>
  </si>
  <si>
    <t>Total Leads</t>
  </si>
  <si>
    <t>Conversion Rate</t>
  </si>
  <si>
    <t>Best-Performing Counsellor</t>
  </si>
  <si>
    <t>Follow-up Required</t>
  </si>
  <si>
    <t>Metric</t>
  </si>
  <si>
    <t>Value</t>
  </si>
  <si>
    <t>Converted Leads</t>
  </si>
  <si>
    <t>Overall Conversion Rate</t>
  </si>
  <si>
    <t>Course</t>
  </si>
  <si>
    <t>Total</t>
  </si>
  <si>
    <t>State</t>
  </si>
  <si>
    <t>Rank</t>
  </si>
  <si>
    <t>Top 5 Courses By lead</t>
  </si>
  <si>
    <t>TOP 5 State By lead</t>
  </si>
  <si>
    <t>Total lead</t>
  </si>
  <si>
    <t>Note: Six states are tied at 7 leads. The first five are shown based on their order in the State-wise table.</t>
  </si>
  <si>
    <t>Lead &amp; Counsellor Analysis Dashboard</t>
  </si>
  <si>
    <t>Best Counsellor</t>
  </si>
  <si>
    <t>Key Insights &amp; Observations</t>
  </si>
  <si>
    <t>Overall Conversion: 6 out of 66 leads were converted, resulting in an overall conversion rate of 9.09%.</t>
  </si>
  <si>
    <t>Best Counsellor: Anjali has the highest conversion rate at 12.50%, with 2 conversions from 16 leads.</t>
  </si>
  <si>
    <t>Top Course: General Education Counselling generated the highest lead volume with 29 leads.</t>
  </si>
  <si>
    <t>Best Lead Sources: Facebook and Instagram have the highest conversion rate at 15.38% each.</t>
  </si>
  <si>
    <t>Website Opportunity: Website generated 13 leads but 0 conversions, suggesting that this source may need further investigation.</t>
  </si>
  <si>
    <t>State Performance: West Bengal and Telangana recorded the highest conversion rate at 28.57%, with 2 conversions from 7 leads each.</t>
  </si>
  <si>
    <t>Conversion by Course</t>
  </si>
  <si>
    <t>Section</t>
  </si>
  <si>
    <t>Details</t>
  </si>
  <si>
    <t>Data Cleaning</t>
  </si>
  <si>
    <t>Course names were standardized by removing unnecessary spaces. State/Country, Counsellor Name, Lead Status, Chat/Call Status, and Lead Source were validated.</t>
  </si>
  <si>
    <t>Data Quality Review</t>
  </si>
  <si>
    <t>Duplicate Identification</t>
  </si>
  <si>
    <t>Duplicate Handling</t>
  </si>
  <si>
    <t>Lead Status Analysis</t>
  </si>
  <si>
    <t>Lead Status was analyzed using the categories New, Follow-up, Pending, Converted, and Not Interested.</t>
  </si>
  <si>
    <t>Chat/Call Analysis</t>
  </si>
  <si>
    <t>The analysis uses the actual Chat/Call Status categories available in the dataset rather than inventing the example categories mentioned in the task sheet.</t>
  </si>
  <si>
    <t>Follow-up Definition</t>
  </si>
  <si>
    <t>Conversion Rate = Converted Leads ÷ Total Leads × 100.</t>
  </si>
  <si>
    <t>Top 5 Analysis</t>
  </si>
  <si>
    <t>Tie Handling</t>
  </si>
  <si>
    <t>Where lead volumes were tied, the order of the existing analysis table was used. Six states had 7 leads; the first five were displayed in the Top 5 section and the tie was documented.</t>
  </si>
  <si>
    <t>Dashboard</t>
  </si>
  <si>
    <t>The dashboard summarizes key KPIs, counsellor performance, lead status, lead sources, top courses, top states, conversion rates, and key observations.</t>
  </si>
  <si>
    <t>Tools Used</t>
  </si>
  <si>
    <t>Microsoft Excel was used for data cleaning, formulas, analysis, charts, and dashboard creation. AI assistance was used to support formula development, analytical structuring, validation, and interpretation.</t>
  </si>
  <si>
    <r>
      <t xml:space="preserve">Duplicate records were identified using </t>
    </r>
    <r>
      <rPr>
        <b/>
        <sz val="14"/>
        <color theme="1"/>
        <rFont val="Calibri"/>
        <family val="2"/>
        <scheme val="minor"/>
      </rPr>
      <t>Student Name only</t>
    </r>
    <r>
      <rPr>
        <sz val="14"/>
        <color theme="1"/>
        <rFont val="Calibri"/>
        <family val="2"/>
        <scheme val="minor"/>
      </rPr>
      <t>, as specified in the task.</t>
    </r>
  </si>
  <si>
    <r>
      <t xml:space="preserve">30 duplicate records were identified. Duplicate records were </t>
    </r>
    <r>
      <rPr>
        <b/>
        <sz val="14"/>
        <color theme="1"/>
        <rFont val="Calibri"/>
        <family val="2"/>
        <scheme val="minor"/>
      </rPr>
      <t>flagged but not removed</t>
    </r>
    <r>
      <rPr>
        <sz val="14"/>
        <color theme="1"/>
        <rFont val="Calibri"/>
        <family val="2"/>
        <scheme val="minor"/>
      </rPr>
      <t>. All analysis was performed on the complete 66-record dataset.</t>
    </r>
  </si>
  <si>
    <r>
      <t xml:space="preserve">A lead was marked as requiring follow-up when Lead Status was </t>
    </r>
    <r>
      <rPr>
        <b/>
        <sz val="14"/>
        <color theme="1"/>
        <rFont val="Calibri"/>
        <family val="2"/>
        <scheme val="minor"/>
      </rPr>
      <t>Follow-up</t>
    </r>
    <r>
      <rPr>
        <sz val="14"/>
        <color theme="1"/>
        <rFont val="Calibri"/>
        <family val="2"/>
        <scheme val="minor"/>
      </rPr>
      <t xml:space="preserve">, or the Chat/Call Status indicated </t>
    </r>
    <r>
      <rPr>
        <b/>
        <sz val="14"/>
        <color theme="1"/>
        <rFont val="Calibri"/>
        <family val="2"/>
        <scheme val="minor"/>
      </rPr>
      <t>Call back tomorrow</t>
    </r>
    <r>
      <rPr>
        <sz val="14"/>
        <color theme="1"/>
        <rFont val="Calibri"/>
        <family val="2"/>
        <scheme val="minor"/>
      </rPr>
      <t xml:space="preserve"> or </t>
    </r>
    <r>
      <rPr>
        <b/>
        <sz val="14"/>
        <color theme="1"/>
        <rFont val="Calibri"/>
        <family val="2"/>
        <scheme val="minor"/>
      </rPr>
      <t>Interested - follow up</t>
    </r>
    <r>
      <rPr>
        <sz val="14"/>
        <color theme="1"/>
        <rFont val="Calibri"/>
        <family val="2"/>
        <scheme val="minor"/>
      </rPr>
      <t>.</t>
    </r>
  </si>
  <si>
    <r>
      <t xml:space="preserve">Top 5 courses and states were ranked based on </t>
    </r>
    <r>
      <rPr>
        <b/>
        <sz val="14"/>
        <color theme="1"/>
        <rFont val="Calibri"/>
        <family val="2"/>
        <scheme val="minor"/>
      </rPr>
      <t>lead volume</t>
    </r>
    <r>
      <rPr>
        <sz val="14"/>
        <color theme="1"/>
        <rFont val="Calibri"/>
        <family val="2"/>
        <scheme val="minor"/>
      </rPr>
      <t>, not conversion rate.</t>
    </r>
  </si>
  <si>
    <r>
      <t>Records with potentially placeholder/unclear student names such as</t>
    </r>
    <r>
      <rPr>
        <b/>
        <sz val="14"/>
        <color theme="1"/>
        <rFont val="Calibri"/>
        <family val="2"/>
        <scheme val="minor"/>
      </rPr>
      <t xml:space="preserve"> Hdhdbhd</t>
    </r>
    <r>
      <rPr>
        <sz val="14"/>
        <color theme="1"/>
        <rFont val="Calibri"/>
        <family val="2"/>
        <scheme val="minor"/>
      </rPr>
      <t xml:space="preserve">, </t>
    </r>
    <r>
      <rPr>
        <b/>
        <sz val="14"/>
        <color theme="1"/>
        <rFont val="Calibri"/>
        <family val="2"/>
        <scheme val="minor"/>
      </rPr>
      <t>Anonymous</t>
    </r>
    <r>
      <rPr>
        <sz val="14"/>
        <color theme="1"/>
        <rFont val="Calibri"/>
        <family val="2"/>
        <scheme val="minor"/>
      </rPr>
      <t xml:space="preserve">, </t>
    </r>
    <r>
      <rPr>
        <b/>
        <sz val="14"/>
        <color theme="1"/>
        <rFont val="Calibri"/>
        <family val="2"/>
        <scheme val="minor"/>
      </rPr>
      <t>Test</t>
    </r>
    <r>
      <rPr>
        <sz val="14"/>
        <color theme="1"/>
        <rFont val="Calibri"/>
        <family val="2"/>
        <scheme val="minor"/>
      </rPr>
      <t xml:space="preserve">, and </t>
    </r>
    <r>
      <rPr>
        <b/>
        <sz val="14"/>
        <color theme="1"/>
        <rFont val="Calibri"/>
        <family val="2"/>
        <scheme val="minor"/>
      </rPr>
      <t>sdfgsdfg</t>
    </r>
    <r>
      <rPr>
        <sz val="14"/>
        <color theme="1"/>
        <rFont val="Calibri"/>
        <family val="2"/>
        <scheme val="minor"/>
      </rPr>
      <t xml:space="preserve"> were flagged for review instead of being deleted.</t>
    </r>
  </si>
  <si>
    <t>Key Analytical Principles</t>
  </si>
  <si>
    <t>The analysis was performed on the complete dataset without removing duplicate records. Duplicate identification was treated as a data-quality exercise. Calculations and insights were based on the available data, and unclear records were flagged for review rather than making unsupported assumptions.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</si>
</sst>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0" fillId="0" borderId="9" xfId="0" applyBorder="1" applyAlignment="1"/>
    <xf numFmtId="0" fontId="0" fillId="0" borderId="8" xfId="0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6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6" fillId="0" borderId="9" xfId="0" applyFont="1" applyBorder="1"/>
    <xf numFmtId="0" fontId="6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10" fontId="8" fillId="0" borderId="3" xfId="1" applyNumberFormat="1" applyFont="1" applyBorder="1" applyAlignment="1">
      <alignment horizontal="center" vertical="center" wrapText="1"/>
    </xf>
    <xf numFmtId="10" fontId="0" fillId="0" borderId="0" xfId="1" applyNumberFormat="1" applyFont="1"/>
    <xf numFmtId="0" fontId="6" fillId="0" borderId="4" xfId="0" applyFont="1" applyBorder="1" applyAlignment="1">
      <alignment horizontal="center" vertical="center" wrapText="1"/>
    </xf>
    <xf numFmtId="10" fontId="6" fillId="0" borderId="5" xfId="1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10" fontId="6" fillId="0" borderId="7" xfId="1" applyNumberFormat="1" applyFont="1" applyBorder="1" applyAlignment="1">
      <alignment horizontal="center"/>
    </xf>
    <xf numFmtId="0" fontId="11" fillId="0" borderId="0" xfId="0" applyFont="1" applyAlignment="1">
      <alignment horizontal="center" vertical="center" wrapText="1"/>
    </xf>
    <xf numFmtId="10" fontId="11" fillId="0" borderId="0" xfId="0" applyNumberFormat="1" applyFont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horizontal="center"/>
    </xf>
    <xf numFmtId="10" fontId="13" fillId="0" borderId="0" xfId="0" applyNumberFormat="1" applyFont="1" applyAlignment="1">
      <alignment horizont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10" fontId="13" fillId="0" borderId="0" xfId="0" applyNumberFormat="1" applyFont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10" fontId="6" fillId="0" borderId="7" xfId="0" applyNumberFormat="1" applyFont="1" applyBorder="1" applyAlignment="1">
      <alignment horizontal="center" vertical="center" wrapText="1"/>
    </xf>
    <xf numFmtId="10" fontId="6" fillId="0" borderId="1" xfId="1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2" fillId="3" borderId="2" xfId="0" applyFont="1" applyFill="1" applyBorder="1" applyAlignment="1">
      <alignment horizontal="center" vertical="center" wrapText="1"/>
    </xf>
    <xf numFmtId="0" fontId="13" fillId="0" borderId="6" xfId="0" applyFont="1" applyBorder="1" applyAlignment="1"/>
    <xf numFmtId="10" fontId="9" fillId="0" borderId="0" xfId="0" applyNumberFormat="1" applyFont="1" applyAlignment="1">
      <alignment horizontal="center"/>
    </xf>
    <xf numFmtId="0" fontId="11" fillId="0" borderId="8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/>
    </xf>
    <xf numFmtId="10" fontId="13" fillId="0" borderId="7" xfId="0" applyNumberFormat="1" applyFont="1" applyBorder="1" applyAlignment="1">
      <alignment horizontal="center"/>
    </xf>
    <xf numFmtId="0" fontId="13" fillId="4" borderId="4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10" fontId="13" fillId="0" borderId="5" xfId="0" applyNumberFormat="1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10" fontId="13" fillId="0" borderId="7" xfId="0" applyNumberFormat="1" applyFont="1" applyBorder="1" applyAlignment="1">
      <alignment vertical="center"/>
    </xf>
    <xf numFmtId="0" fontId="11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7" fillId="5" borderId="0" xfId="0" applyFont="1" applyFill="1" applyAlignment="1">
      <alignment horizontal="center" vertical="center"/>
    </xf>
    <xf numFmtId="10" fontId="7" fillId="5" borderId="0" xfId="0" applyNumberFormat="1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0" fillId="7" borderId="0" xfId="0" applyFill="1"/>
    <xf numFmtId="0" fontId="0" fillId="7" borderId="0" xfId="0" applyFill="1" applyBorder="1"/>
    <xf numFmtId="0" fontId="16" fillId="6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3" fillId="7" borderId="0" xfId="0" applyFont="1" applyFill="1"/>
    <xf numFmtId="0" fontId="3" fillId="7" borderId="0" xfId="0" applyFont="1" applyFill="1" applyBorder="1"/>
    <xf numFmtId="0" fontId="16" fillId="7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left" vertical="center"/>
    </xf>
    <xf numFmtId="10" fontId="9" fillId="0" borderId="0" xfId="1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141"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4" formatCode="0.00%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Lead Status by Counsellor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'Counsellor Analysis'!$C$1</c:f>
              <c:strCache>
                <c:ptCount val="1"/>
                <c:pt idx="0">
                  <c:v>New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'Counsellor Analysis'!$A$2:$A$6</c:f>
              <c:strCache>
                <c:ptCount val="5"/>
                <c:pt idx="0">
                  <c:v>Rahul</c:v>
                </c:pt>
                <c:pt idx="1">
                  <c:v>Anjali</c:v>
                </c:pt>
                <c:pt idx="2">
                  <c:v>Priya</c:v>
                </c:pt>
                <c:pt idx="3">
                  <c:v>Arun</c:v>
                </c:pt>
                <c:pt idx="4">
                  <c:v>Sneha</c:v>
                </c:pt>
              </c:strCache>
            </c:strRef>
          </c:cat>
          <c:val>
            <c:numRef>
              <c:f>'Counsellor Analysis'!$C$2:$C$6</c:f>
              <c:numCache>
                <c:formatCode>General</c:formatCode>
                <c:ptCount val="5"/>
                <c:pt idx="0">
                  <c:v>5</c:v>
                </c:pt>
                <c:pt idx="1">
                  <c:v>2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F-4FF6-A0E2-D5471CBBFBED}"/>
            </c:ext>
          </c:extLst>
        </c:ser>
        <c:ser>
          <c:idx val="1"/>
          <c:order val="1"/>
          <c:tx>
            <c:strRef>
              <c:f>'Counsellor Analysis'!$D$1</c:f>
              <c:strCache>
                <c:ptCount val="1"/>
                <c:pt idx="0">
                  <c:v>Follow-up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'Counsellor Analysis'!$A$2:$A$6</c:f>
              <c:strCache>
                <c:ptCount val="5"/>
                <c:pt idx="0">
                  <c:v>Rahul</c:v>
                </c:pt>
                <c:pt idx="1">
                  <c:v>Anjali</c:v>
                </c:pt>
                <c:pt idx="2">
                  <c:v>Priya</c:v>
                </c:pt>
                <c:pt idx="3">
                  <c:v>Arun</c:v>
                </c:pt>
                <c:pt idx="4">
                  <c:v>Sneha</c:v>
                </c:pt>
              </c:strCache>
            </c:strRef>
          </c:cat>
          <c:val>
            <c:numRef>
              <c:f>'Counsellor Analysis'!$D$2:$D$6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7F-4FF6-A0E2-D5471CBBFBED}"/>
            </c:ext>
          </c:extLst>
        </c:ser>
        <c:ser>
          <c:idx val="2"/>
          <c:order val="2"/>
          <c:tx>
            <c:strRef>
              <c:f>'Counsellor Analysis'!$E$1</c:f>
              <c:strCache>
                <c:ptCount val="1"/>
                <c:pt idx="0">
                  <c:v>Pending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'Counsellor Analysis'!$A$2:$A$6</c:f>
              <c:strCache>
                <c:ptCount val="5"/>
                <c:pt idx="0">
                  <c:v>Rahul</c:v>
                </c:pt>
                <c:pt idx="1">
                  <c:v>Anjali</c:v>
                </c:pt>
                <c:pt idx="2">
                  <c:v>Priya</c:v>
                </c:pt>
                <c:pt idx="3">
                  <c:v>Arun</c:v>
                </c:pt>
                <c:pt idx="4">
                  <c:v>Sneha</c:v>
                </c:pt>
              </c:strCache>
            </c:strRef>
          </c:cat>
          <c:val>
            <c:numRef>
              <c:f>'Counsellor Analysis'!$E$2:$E$6</c:f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7F-4FF6-A0E2-D5471CBBFBED}"/>
            </c:ext>
          </c:extLst>
        </c:ser>
        <c:ser>
          <c:idx val="3"/>
          <c:order val="3"/>
          <c:tx>
            <c:strRef>
              <c:f>'Counsellor Analysis'!$F$1</c:f>
              <c:strCache>
                <c:ptCount val="1"/>
                <c:pt idx="0">
                  <c:v>Converted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'Counsellor Analysis'!$A$2:$A$6</c:f>
              <c:strCache>
                <c:ptCount val="5"/>
                <c:pt idx="0">
                  <c:v>Rahul</c:v>
                </c:pt>
                <c:pt idx="1">
                  <c:v>Anjali</c:v>
                </c:pt>
                <c:pt idx="2">
                  <c:v>Priya</c:v>
                </c:pt>
                <c:pt idx="3">
                  <c:v>Arun</c:v>
                </c:pt>
                <c:pt idx="4">
                  <c:v>Sneha</c:v>
                </c:pt>
              </c:strCache>
            </c:strRef>
          </c:cat>
          <c:val>
            <c:numRef>
              <c:f>'Counsellor Analysis'!$F$2:$F$6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7F-4FF6-A0E2-D5471CBBFBED}"/>
            </c:ext>
          </c:extLst>
        </c:ser>
        <c:ser>
          <c:idx val="4"/>
          <c:order val="4"/>
          <c:tx>
            <c:strRef>
              <c:f>'Counsellor Analysis'!$G$1</c:f>
              <c:strCache>
                <c:ptCount val="1"/>
                <c:pt idx="0">
                  <c:v>Not Interested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'Counsellor Analysis'!$A$2:$A$6</c:f>
              <c:strCache>
                <c:ptCount val="5"/>
                <c:pt idx="0">
                  <c:v>Rahul</c:v>
                </c:pt>
                <c:pt idx="1">
                  <c:v>Anjali</c:v>
                </c:pt>
                <c:pt idx="2">
                  <c:v>Priya</c:v>
                </c:pt>
                <c:pt idx="3">
                  <c:v>Arun</c:v>
                </c:pt>
                <c:pt idx="4">
                  <c:v>Sneha</c:v>
                </c:pt>
              </c:strCache>
            </c:strRef>
          </c:cat>
          <c:val>
            <c:numRef>
              <c:f>'Counsellor Analysis'!$G$2:$G$6</c:f>
              <c:numCache>
                <c:formatCode>General</c:formatCode>
                <c:ptCount val="5"/>
                <c:pt idx="0">
                  <c:v>2</c:v>
                </c:pt>
                <c:pt idx="1">
                  <c:v>7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7F-4FF6-A0E2-D5471CBBFBE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76512384"/>
        <c:axId val="576504224"/>
      </c:barChart>
      <c:catAx>
        <c:axId val="576512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504224"/>
        <c:crosses val="autoZero"/>
        <c:auto val="1"/>
        <c:lblAlgn val="ctr"/>
        <c:lblOffset val="100"/>
        <c:noMultiLvlLbl val="0"/>
      </c:catAx>
      <c:valAx>
        <c:axId val="57650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51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Total Leads by Counsellor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'Counsellor Analysis'!$B$1</c:f>
              <c:strCache>
                <c:ptCount val="1"/>
                <c:pt idx="0">
                  <c:v>Total Leads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'Counsellor Analysis'!$A$2:$A$6</c:f>
              <c:strCache>
                <c:ptCount val="5"/>
                <c:pt idx="0">
                  <c:v>Rahul</c:v>
                </c:pt>
                <c:pt idx="1">
                  <c:v>Anjali</c:v>
                </c:pt>
                <c:pt idx="2">
                  <c:v>Priya</c:v>
                </c:pt>
                <c:pt idx="3">
                  <c:v>Arun</c:v>
                </c:pt>
                <c:pt idx="4">
                  <c:v>Sneha</c:v>
                </c:pt>
              </c:strCache>
            </c:strRef>
          </c:cat>
          <c:val>
            <c:numRef>
              <c:f>'Counsellor Analysis'!$B$2:$B$6</c:f>
              <c:numCache>
                <c:formatCode>General</c:formatCode>
                <c:ptCount val="5"/>
                <c:pt idx="0">
                  <c:v>15</c:v>
                </c:pt>
                <c:pt idx="1">
                  <c:v>16</c:v>
                </c:pt>
                <c:pt idx="2">
                  <c:v>13</c:v>
                </c:pt>
                <c:pt idx="3">
                  <c:v>11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6-40AE-B554-1BFEAC3F4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76483584"/>
        <c:axId val="576500384"/>
      </c:barChart>
      <c:catAx>
        <c:axId val="576483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500384"/>
        <c:crosses val="autoZero"/>
        <c:auto val="1"/>
        <c:lblAlgn val="ctr"/>
        <c:lblOffset val="100"/>
        <c:noMultiLvlLbl val="0"/>
      </c:catAx>
      <c:valAx>
        <c:axId val="57650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48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Leads by Lead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'Conversion Analysis'!$G$9</c:f>
              <c:strCache>
                <c:ptCount val="1"/>
                <c:pt idx="0">
                  <c:v>Total Leads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'Conversion Analysis'!$F$10:$F$14</c:f>
              <c:strCache>
                <c:ptCount val="5"/>
                <c:pt idx="0">
                  <c:v>WhatsApp</c:v>
                </c:pt>
                <c:pt idx="1">
                  <c:v>Facebook</c:v>
                </c:pt>
                <c:pt idx="2">
                  <c:v>Instagram</c:v>
                </c:pt>
                <c:pt idx="3">
                  <c:v>Referral</c:v>
                </c:pt>
                <c:pt idx="4">
                  <c:v>Website</c:v>
                </c:pt>
              </c:strCache>
            </c:strRef>
          </c:cat>
          <c:val>
            <c:numRef>
              <c:f>'Conversion Analysis'!$G$10:$G$14</c:f>
              <c:numCache>
                <c:formatCode>General</c:formatCode>
                <c:ptCount val="5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E-4577-BC19-5434BC07FF9C}"/>
            </c:ext>
          </c:extLst>
        </c:ser>
        <c:ser>
          <c:idx val="1"/>
          <c:order val="1"/>
          <c:tx>
            <c:strRef>
              <c:f>'Conversion Analysis'!$H$9</c:f>
              <c:strCache>
                <c:ptCount val="1"/>
                <c:pt idx="0">
                  <c:v>Converted Leads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'Conversion Analysis'!$F$10:$F$14</c:f>
              <c:strCache>
                <c:ptCount val="5"/>
                <c:pt idx="0">
                  <c:v>WhatsApp</c:v>
                </c:pt>
                <c:pt idx="1">
                  <c:v>Facebook</c:v>
                </c:pt>
                <c:pt idx="2">
                  <c:v>Instagram</c:v>
                </c:pt>
                <c:pt idx="3">
                  <c:v>Referral</c:v>
                </c:pt>
                <c:pt idx="4">
                  <c:v>Website</c:v>
                </c:pt>
              </c:strCache>
            </c:strRef>
          </c:cat>
          <c:val>
            <c:numRef>
              <c:f>'Conversion Analysis'!$H$10:$H$14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AE-4577-BC19-5434BC07FF9C}"/>
            </c:ext>
          </c:extLst>
        </c:ser>
        <c:ser>
          <c:idx val="2"/>
          <c:order val="2"/>
          <c:tx>
            <c:strRef>
              <c:f>'Conversion Analysis'!$I$9</c:f>
              <c:strCache>
                <c:ptCount val="1"/>
                <c:pt idx="0">
                  <c:v>Conversion Rate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'Conversion Analysis'!$F$10:$F$14</c:f>
              <c:strCache>
                <c:ptCount val="5"/>
                <c:pt idx="0">
                  <c:v>WhatsApp</c:v>
                </c:pt>
                <c:pt idx="1">
                  <c:v>Facebook</c:v>
                </c:pt>
                <c:pt idx="2">
                  <c:v>Instagram</c:v>
                </c:pt>
                <c:pt idx="3">
                  <c:v>Referral</c:v>
                </c:pt>
                <c:pt idx="4">
                  <c:v>Website</c:v>
                </c:pt>
              </c:strCache>
            </c:strRef>
          </c:cat>
          <c:val>
            <c:numRef>
              <c:f>'Conversion Analysis'!$I$10:$I$14</c:f>
              <c:numCache>
                <c:formatCode>0.00%</c:formatCode>
                <c:ptCount val="5"/>
                <c:pt idx="0">
                  <c:v>7.1428571428571425E-2</c:v>
                </c:pt>
                <c:pt idx="1">
                  <c:v>0.15384615384615385</c:v>
                </c:pt>
                <c:pt idx="2">
                  <c:v>0.15384615384615385</c:v>
                </c:pt>
                <c:pt idx="3">
                  <c:v>7.6923076923076927E-2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AE-4577-BC19-5434BC07FF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98831184"/>
        <c:axId val="1298831664"/>
      </c:barChart>
      <c:catAx>
        <c:axId val="1298831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31664"/>
        <c:crosses val="autoZero"/>
        <c:auto val="1"/>
        <c:lblAlgn val="ctr"/>
        <c:lblOffset val="100"/>
        <c:noMultiLvlLbl val="0"/>
      </c:catAx>
      <c:valAx>
        <c:axId val="129883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3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Top 5 Courses by Lead Volume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'Course_State Analysis'!$H$5</c:f>
              <c:strCache>
                <c:ptCount val="1"/>
                <c:pt idx="0">
                  <c:v>Total Leads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'Course_State Analysis'!$G$6:$G$10</c:f>
              <c:strCache>
                <c:ptCount val="5"/>
                <c:pt idx="0">
                  <c:v>General Education Counselling</c:v>
                </c:pt>
                <c:pt idx="1">
                  <c:v>Bachelor of Hospital Administration</c:v>
                </c:pt>
                <c:pt idx="2">
                  <c:v>Fashion Design</c:v>
                </c:pt>
                <c:pt idx="3">
                  <c:v>Bachelor of Architecture</c:v>
                </c:pt>
                <c:pt idx="4">
                  <c:v>Bachelor of Design</c:v>
                </c:pt>
              </c:strCache>
            </c:strRef>
          </c:cat>
          <c:val>
            <c:numRef>
              <c:f>'Course_State Analysis'!$H$6:$H$10</c:f>
              <c:numCache>
                <c:formatCode>General</c:formatCode>
                <c:ptCount val="5"/>
                <c:pt idx="0">
                  <c:v>29</c:v>
                </c:pt>
                <c:pt idx="1">
                  <c:v>7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1-47EF-A296-924B3E32C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98870064"/>
        <c:axId val="1298871984"/>
      </c:barChart>
      <c:catAx>
        <c:axId val="129887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71984"/>
        <c:crosses val="autoZero"/>
        <c:auto val="1"/>
        <c:lblAlgn val="ctr"/>
        <c:lblOffset val="100"/>
        <c:noMultiLvlLbl val="0"/>
      </c:catAx>
      <c:valAx>
        <c:axId val="129887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7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Top 5 States by Lead Volume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'Course_State Analysis'!$H$26</c:f>
              <c:strCache>
                <c:ptCount val="1"/>
                <c:pt idx="0">
                  <c:v>Total lead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'Course_State Analysis'!$G$27:$G$31</c:f>
              <c:strCache>
                <c:ptCount val="5"/>
                <c:pt idx="0">
                  <c:v>Rajasthan</c:v>
                </c:pt>
                <c:pt idx="1">
                  <c:v>West Bengal</c:v>
                </c:pt>
                <c:pt idx="2">
                  <c:v>Telangana</c:v>
                </c:pt>
                <c:pt idx="3">
                  <c:v>Karnataka</c:v>
                </c:pt>
                <c:pt idx="4">
                  <c:v>Odisha</c:v>
                </c:pt>
              </c:strCache>
            </c:strRef>
          </c:cat>
          <c:val>
            <c:numRef>
              <c:f>'Course_State Analysis'!$H$27:$H$31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6-43ED-A963-81EC040C8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76504704"/>
        <c:axId val="576495104"/>
      </c:barChart>
      <c:catAx>
        <c:axId val="57650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495104"/>
        <c:crosses val="autoZero"/>
        <c:auto val="1"/>
        <c:lblAlgn val="ctr"/>
        <c:lblOffset val="100"/>
        <c:noMultiLvlLbl val="0"/>
      </c:catAx>
      <c:valAx>
        <c:axId val="57649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50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Conversion Rate by Lead Source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'Conversion Analysis'!$I$9</c:f>
              <c:strCache>
                <c:ptCount val="1"/>
                <c:pt idx="0">
                  <c:v>Conversion 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'Conversion Analysis'!$F$10:$F$15</c:f>
              <c:strCache>
                <c:ptCount val="5"/>
                <c:pt idx="0">
                  <c:v>WhatsApp</c:v>
                </c:pt>
                <c:pt idx="1">
                  <c:v>Facebook</c:v>
                </c:pt>
                <c:pt idx="2">
                  <c:v>Instagram</c:v>
                </c:pt>
                <c:pt idx="3">
                  <c:v>Referral</c:v>
                </c:pt>
                <c:pt idx="4">
                  <c:v>Website</c:v>
                </c:pt>
              </c:strCache>
            </c:strRef>
          </c:cat>
          <c:val>
            <c:numRef>
              <c:f>'Conversion Analysis'!$I$10:$I$15</c:f>
              <c:numCache>
                <c:formatCode>0.00%</c:formatCode>
                <c:ptCount val="5"/>
                <c:pt idx="0">
                  <c:v>7.1428571428571425E-2</c:v>
                </c:pt>
                <c:pt idx="1">
                  <c:v>0.15384615384615385</c:v>
                </c:pt>
                <c:pt idx="2">
                  <c:v>0.15384615384615385</c:v>
                </c:pt>
                <c:pt idx="3">
                  <c:v>7.6923076923076927E-2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8-4D91-9009-DA8FA9C1F5A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98861424"/>
        <c:axId val="1298872944"/>
      </c:barChart>
      <c:catAx>
        <c:axId val="129886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72944"/>
        <c:crosses val="autoZero"/>
        <c:auto val="1"/>
        <c:lblAlgn val="ctr"/>
        <c:lblOffset val="100"/>
        <c:noMultiLvlLbl val="0"/>
      </c:catAx>
      <c:valAx>
        <c:axId val="129887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6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594360</xdr:colOff>
      <xdr:row>6</xdr:row>
      <xdr:rowOff>160020</xdr:rowOff>
    </xdr:from>
    <xdr:to>
      <xdr:col>14</xdr:col>
      <xdr:colOff>251460</xdr:colOff>
      <xdr:row>20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2515E-B90A-4AFE-A6B7-367A15C8FE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6</xdr:row>
      <xdr:rowOff>167640</xdr:rowOff>
    </xdr:from>
    <xdr:to>
      <xdr:col>7</xdr:col>
      <xdr:colOff>411480</xdr:colOff>
      <xdr:row>20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E627AE-7A1D-4FC1-9F95-86394210D5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365760</xdr:colOff>
      <xdr:row>6</xdr:row>
      <xdr:rowOff>144780</xdr:rowOff>
    </xdr:from>
    <xdr:to>
      <xdr:col>21</xdr:col>
      <xdr:colOff>594360</xdr:colOff>
      <xdr:row>20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313811-99DF-46AD-A939-8AACCF3E75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</xdr:colOff>
      <xdr:row>21</xdr:row>
      <xdr:rowOff>22860</xdr:rowOff>
    </xdr:from>
    <xdr:to>
      <xdr:col>7</xdr:col>
      <xdr:colOff>411480</xdr:colOff>
      <xdr:row>35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7ECE27-7FE6-4D32-BED6-C4236C3E1C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15240</xdr:colOff>
      <xdr:row>21</xdr:row>
      <xdr:rowOff>0</xdr:rowOff>
    </xdr:from>
    <xdr:to>
      <xdr:col>14</xdr:col>
      <xdr:colOff>251460</xdr:colOff>
      <xdr:row>35</xdr:row>
      <xdr:rowOff>99060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6C33170-56F2-42EB-9D30-9016C0958F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365760</xdr:colOff>
      <xdr:row>21</xdr:row>
      <xdr:rowOff>0</xdr:rowOff>
    </xdr:from>
    <xdr:to>
      <xdr:col>22</xdr:col>
      <xdr:colOff>7620</xdr:colOff>
      <xdr:row>35</xdr:row>
      <xdr:rowOff>91440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440F79D-E1B1-4A93-AEDF-957A11363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225F7B-72B2-42EB-A711-FB36420E1356}" name="Table3" displayName="Table3" ref="A1:M67" totalsRowShown="0" headerRowDxfId="124" dataDxfId="125" headerRowBorderDxfId="136" tableBorderDxfId="137" totalsRowBorderDxfId="135">
  <autoFilter ref="A1:M67" xr:uid="{B1225F7B-72B2-42EB-A711-FB36420E1356}"/>
  <tableColumns count="13">
    <tableColumn id="1" xr3:uid="{E06D0D28-F3C8-4F9E-BC30-B3C1DC68E9B1}" name="Record ID" dataDxfId="134"/>
    <tableColumn id="2" xr3:uid="{9FA2DD92-A328-482F-A92C-4AE92C3064EC}" name="Category" dataDxfId="133"/>
    <tableColumn id="3" xr3:uid="{B31BB14E-AB30-4A61-8EF9-8B3E39328CC6}" name="Student Name" dataDxfId="132"/>
    <tableColumn id="4" xr3:uid="{3EC2D1C2-54B8-455F-9408-20586BA740D1}" name="Course / Interest" dataDxfId="131"/>
    <tableColumn id="5" xr3:uid="{2C37167D-AEB4-491A-9449-265189370BA3}" name="State / Country" dataDxfId="130"/>
    <tableColumn id="6" xr3:uid="{EC65116B-20D5-449B-BA8C-97C5291B1151}" name="Counsellor Name" dataDxfId="129"/>
    <tableColumn id="7" xr3:uid="{B0BDE306-F48D-453E-BD7D-51C482901532}" name="Lead Status" dataDxfId="128"/>
    <tableColumn id="8" xr3:uid="{71BD756F-CF21-4E0C-8691-E0D41F894792}" name="Chat/Call Status" dataDxfId="127"/>
    <tableColumn id="9" xr3:uid="{CBBA584C-649A-4E76-A289-C795299505EB}" name="Lead Source" dataDxfId="126"/>
    <tableColumn id="10" xr3:uid="{598DC475-AABA-4708-B0DB-E0B9BC2AF149}" name="Review Required" dataDxfId="120"/>
    <tableColumn id="11" xr3:uid="{B65B07F8-EB72-452E-8DE1-973DE2E1CA06}" name="Review Reason" dataDxfId="123"/>
    <tableColumn id="12" xr3:uid="{68D1B238-567E-4556-9121-ED55CAFF2160}" name="Duplicate Status" dataDxfId="121">
      <calculatedColumnFormula>IF(J2="Yes","Review",IF(COUNTIF($C$2:$C$67,C2)&gt;1,"Duplicate","Unique"))</calculatedColumnFormula>
    </tableColumn>
    <tableColumn id="13" xr3:uid="{ED35B476-3B6E-45C7-B959-37665B033D3D}" name="Follow-up Required" dataDxfId="122">
      <calculatedColumnFormula>IF(OR(G2="Follow-up",H2="Call back tomorrow",H2="Interested - follow up"),"Yes","No")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A46BA34-07B1-4594-8B6C-2028B0A0277E}" name="Table5" displayName="Table5" ref="A1:H7" totalsRowCount="1" headerRowDxfId="104" dataDxfId="103">
  <autoFilter ref="A1:H6" xr:uid="{9A46BA34-07B1-4594-8B6C-2028B0A0277E}"/>
  <tableColumns count="8">
    <tableColumn id="1" xr3:uid="{5DE11B72-56AD-42CA-B1C8-6E9BF3AC50AA}" name="Counsellor" totalsRowLabel="Total" dataDxfId="110" totalsRowDxfId="17"/>
    <tableColumn id="2" xr3:uid="{B84CACCD-1881-438F-AC07-788F457FC31E}" name="Total Leads" totalsRowFunction="sum" dataDxfId="109" totalsRowDxfId="16">
      <calculatedColumnFormula>COUNTIF(CLEAN_DATA!$F$2:$F$67,A2)</calculatedColumnFormula>
    </tableColumn>
    <tableColumn id="3" xr3:uid="{693871E9-2270-4226-93BE-EBAB1A0EE3BC}" name="New" totalsRowFunction="sum" dataDxfId="108" totalsRowDxfId="15">
      <calculatedColumnFormula>COUNTIFS(CLEAN_DATA!$F$2:$F$67,A2,CLEAN_DATA!$G$2:$G$67,C$1)</calculatedColumnFormula>
    </tableColumn>
    <tableColumn id="4" xr3:uid="{68D43848-E893-4BD2-886E-8FB1D6680FFA}" name="Follow-up" totalsRowFunction="sum" dataDxfId="107" totalsRowDxfId="14">
      <calculatedColumnFormula>COUNTIFS(CLEAN_DATA!$F$2:$F$67,A2,CLEAN_DATA!$G$2:$G$67,D$1)</calculatedColumnFormula>
    </tableColumn>
    <tableColumn id="5" xr3:uid="{FD16B381-3725-41BF-8AA7-B46FE4E19B07}" name="Pending" totalsRowFunction="sum" dataDxfId="106" totalsRowDxfId="13">
      <calculatedColumnFormula>COUNTIFS(CLEAN_DATA!$F$2:$F$67,A2,CLEAN_DATA!$G$2:$G$67,E$1)</calculatedColumnFormula>
    </tableColumn>
    <tableColumn id="6" xr3:uid="{D04B35A4-FD8A-45AB-8B60-71105FDB2282}" name="Converted" totalsRowFunction="sum" dataDxfId="105" totalsRowDxfId="12">
      <calculatedColumnFormula>COUNTIFS(CLEAN_DATA!$F$2:$F$67,A2,CLEAN_DATA!$G$2:$G$67,F$1)</calculatedColumnFormula>
    </tableColumn>
    <tableColumn id="7" xr3:uid="{C6C0E870-08B6-4BA3-80A2-23D7581D807F}" name="Not Interested" totalsRowFunction="sum" dataDxfId="19" totalsRowDxfId="11">
      <calculatedColumnFormula>COUNTIFS(CLEAN_DATA!$F$2:$F$67,A2,CLEAN_DATA!$G$2:$G$67,G$1)</calculatedColumnFormula>
    </tableColumn>
    <tableColumn id="8" xr3:uid="{75EE5C64-D449-4AEC-85B9-44FB230EC68C}" name="Conversion Rate" totalsRowFunction="custom" dataDxfId="18" totalsRowDxfId="10" dataCellStyle="Percent">
      <calculatedColumnFormula>F2/B2</calculatedColumnFormula>
      <totalsRowFormula>F7/B7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AA74A0-AF14-4636-9BC1-837BC6CB126C}" name="Table2" displayName="Table2" ref="A1:G12" totalsRowCount="1" headerRowDxfId="112" dataDxfId="111" headerRowBorderDxfId="139" tableBorderDxfId="140" totalsRowBorderDxfId="138">
  <autoFilter ref="A1:G11" xr:uid="{C2AA74A0-AF14-4636-9BC1-837BC6CB126C}"/>
  <tableColumns count="7">
    <tableColumn id="1" xr3:uid="{B06560B9-9402-4B91-A170-C6762EE3985E}" name="Chat/Call Status" totalsRowLabel="Total" dataDxfId="119" totalsRowDxfId="72"/>
    <tableColumn id="2" xr3:uid="{940010E1-D693-459A-B174-7536EA6CF95C}" name="Total Leads" totalsRowFunction="sum" dataDxfId="118" totalsRowDxfId="71">
      <calculatedColumnFormula>COUNTIF(CLEAN_DATA!$H$2:$H$67,A2)</calculatedColumnFormula>
    </tableColumn>
    <tableColumn id="3" xr3:uid="{10C63872-31A9-4C64-9389-1DD051A4D5DE}" name="New" totalsRowFunction="sum" dataDxfId="117" totalsRowDxfId="70">
      <calculatedColumnFormula>COUNTIFS(CLEAN_DATA!$H$2:$H$67,$A2,CLEAN_DATA!$G$2:$G$67,C$1)</calculatedColumnFormula>
    </tableColumn>
    <tableColumn id="4" xr3:uid="{14E24F07-2903-46B3-97B2-346A13EF170E}" name="Follow-up" totalsRowFunction="sum" dataDxfId="116" totalsRowDxfId="69">
      <calculatedColumnFormula>COUNTIFS(CLEAN_DATA!$H$2:$H$67,$A2,CLEAN_DATA!$G$2:$G$67,D$1)</calculatedColumnFormula>
    </tableColumn>
    <tableColumn id="5" xr3:uid="{488DF7A9-055E-44AC-8E03-2807A82E669B}" name="Pending" totalsRowFunction="sum" dataDxfId="115" totalsRowDxfId="68">
      <calculatedColumnFormula>COUNTIFS(CLEAN_DATA!$H$2:$H$67,$A2,CLEAN_DATA!$G$2:$G$67,E$1)</calculatedColumnFormula>
    </tableColumn>
    <tableColumn id="6" xr3:uid="{D4ADBBB9-B783-47B9-AE81-FB9318976FAB}" name="Converted" totalsRowFunction="sum" dataDxfId="114" totalsRowDxfId="67">
      <calculatedColumnFormula>COUNTIFS(CLEAN_DATA!$H$2:$H$67,$A2,CLEAN_DATA!$G$2:$G$67,F$1)</calculatedColumnFormula>
    </tableColumn>
    <tableColumn id="7" xr3:uid="{B74F2D06-40D5-41C1-B6C9-0E29A726838E}" name="Not Interested" totalsRowFunction="sum" dataDxfId="113" totalsRowDxfId="66">
      <calculatedColumnFormula>COUNTIFS(CLEAN_DATA!$H$2:$H$67,$A2,CLEAN_DATA!$G$2:$G$67,G$1)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BE268D-2C8C-4E72-B7FB-22D2B499EE55}" name="Table4" displayName="Table4" ref="A1:B4" totalsRowShown="0" headerRowDxfId="84" dataDxfId="83">
  <autoFilter ref="A1:B4" xr:uid="{30BE268D-2C8C-4E72-B7FB-22D2B499EE55}"/>
  <tableColumns count="2">
    <tableColumn id="1" xr3:uid="{80C1E429-C2A4-4BEA-A47D-330F6A7B322C}" name="Metric" dataDxfId="82"/>
    <tableColumn id="2" xr3:uid="{A1A875C0-901F-4319-AC92-75A27D2E6136}" name="Value" dataDxfId="8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894A54-7C9D-4744-B829-25317CC1B23E}" name="Table6" displayName="Table6" ref="E1:H7" totalsRowCount="1" headerRowDxfId="94" dataDxfId="93" headerRowBorderDxfId="91" tableBorderDxfId="92" totalsRowBorderDxfId="90">
  <autoFilter ref="E1:H6" xr:uid="{A5894A54-7C9D-4744-B829-25317CC1B23E}"/>
  <tableColumns count="4">
    <tableColumn id="1" xr3:uid="{89653530-6A95-434C-B478-F704368AC8E7}" name="Counsellor" totalsRowLabel="Total" dataDxfId="89" totalsRowDxfId="80"/>
    <tableColumn id="2" xr3:uid="{BAD9164F-2AA7-4196-9607-1585F3D19598}" name="Total Leads" totalsRowFunction="sum" dataDxfId="88" totalsRowDxfId="79">
      <calculatedColumnFormula>COUNTIF(CLEAN_DATA!$F$2:$F$67,E2)</calculatedColumnFormula>
    </tableColumn>
    <tableColumn id="3" xr3:uid="{00734A83-55E5-44F7-9D88-1B68A8FC45BD}" name="Converted Leads" totalsRowFunction="sum" dataDxfId="87" totalsRowDxfId="78">
      <calculatedColumnFormula>COUNTIFS(CLEAN_DATA!$F$2:$F$67,E2,CLEAN_DATA!$G$2:$G$67,"Converted")</calculatedColumnFormula>
    </tableColumn>
    <tableColumn id="4" xr3:uid="{B90B947F-87B8-4B2B-968F-6DF023FB11AD}" name="Conversion Rate" totalsRowFunction="custom" dataDxfId="86" totalsRowDxfId="77" dataCellStyle="Percent">
      <calculatedColumnFormula>G2/F2</calculatedColumnFormula>
      <totalsRowFormula>G7/F7</totalsRow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F545FC1-9C1E-4BAA-9E46-407BFBB705C4}" name="Table9" displayName="Table9" ref="F9:I15" totalsRowCount="1" headerRowDxfId="100" dataDxfId="99" totalsRowDxfId="85">
  <autoFilter ref="F9:I14" xr:uid="{BF545FC1-9C1E-4BAA-9E46-407BFBB705C4}"/>
  <tableColumns count="4">
    <tableColumn id="1" xr3:uid="{0FE7E389-06E0-4D9E-A5D0-7E3DDD7AF76D}" name="Lead Source" totalsRowLabel="Total" dataDxfId="98" totalsRowDxfId="76"/>
    <tableColumn id="2" xr3:uid="{304672C3-2816-492B-BD42-8B1E37F7507E}" name="Total Leads" totalsRowFunction="sum" dataDxfId="97" totalsRowDxfId="75">
      <calculatedColumnFormula>COUNTIF(CLEAN_DATA!$I$2:$I$67,F10)</calculatedColumnFormula>
    </tableColumn>
    <tableColumn id="3" xr3:uid="{5844E8C7-9632-4C44-A0EC-9274448AEBE2}" name="Converted Leads" totalsRowFunction="sum" dataDxfId="96" totalsRowDxfId="74">
      <calculatedColumnFormula>COUNTIFS(CLEAN_DATA!$I$2:$I$67,F10,CLEAN_DATA!$G$2:$G$67,"Converted")</calculatedColumnFormula>
    </tableColumn>
    <tableColumn id="4" xr3:uid="{DA5D29EB-B0CF-48D4-A4B7-A6F23354CEBA}" name="Conversion Rate" totalsRowFunction="custom" dataDxfId="95" totalsRowDxfId="73">
      <calculatedColumnFormula>H10/G10</calculatedColumnFormula>
      <totalsRowFormula>H15/G15</totalsRow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D9295C-A1EF-4945-82C2-F9D6D5BD3C31}" name="Table8" displayName="Table8" ref="A9:D30" totalsRowCount="1" headerRowDxfId="102" dataDxfId="101">
  <autoFilter ref="A9:D29" xr:uid="{41D9295C-A1EF-4945-82C2-F9D6D5BD3C31}"/>
  <tableColumns count="4">
    <tableColumn id="1" xr3:uid="{660DF89D-4B82-4425-8303-175D23BDAF9E}" name="Course" totalsRowLabel="Total" dataDxfId="65" totalsRowDxfId="61"/>
    <tableColumn id="2" xr3:uid="{3716599C-DE41-470F-BF7B-05492D922A4C}" name="Total Leads" totalsRowFunction="sum" dataDxfId="64" totalsRowDxfId="60">
      <calculatedColumnFormula>COUNTIF(CLEAN_DATA!$D$2:$D$67,A10)</calculatedColumnFormula>
    </tableColumn>
    <tableColumn id="3" xr3:uid="{2518C096-391D-49E1-9F9D-10B09F09A149}" name="Converted Leads" totalsRowFunction="sum" dataDxfId="63" totalsRowDxfId="59">
      <calculatedColumnFormula>COUNTIFS(CLEAN_DATA!$D$2:$D$67,A10,CLEAN_DATA!$G$2:$G$67,"Converted")</calculatedColumnFormula>
    </tableColumn>
    <tableColumn id="4" xr3:uid="{020061AD-4A06-4A53-9789-0917032DAA61}" name="Conversion Rate" totalsRowFunction="custom" dataDxfId="62" totalsRowDxfId="58">
      <calculatedColumnFormula>C10/B10</calculatedColumnFormula>
      <totalsRowFormula>C30/B30</totalsRow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8222269-BB58-4041-8424-95979DDBD338}" name="Table10" displayName="Table10" ref="A1:D22" totalsRowCount="1" headerRowDxfId="46" dataDxfId="45" totalsRowDxfId="44" headerRowBorderDxfId="42" tableBorderDxfId="43" totalsRowBorderDxfId="41">
  <autoFilter ref="A1:D21" xr:uid="{48222269-BB58-4041-8424-95979DDBD338}"/>
  <tableColumns count="4">
    <tableColumn id="1" xr3:uid="{282589D2-54B3-48BE-86B9-22E7838FED49}" name="Course" totalsRowLabel="Total" dataDxfId="39" totalsRowDxfId="40"/>
    <tableColumn id="2" xr3:uid="{6840EA89-776E-46B4-ABAD-ED0597F135BA}" name="Total Leads" totalsRowFunction="sum" dataDxfId="37" totalsRowDxfId="38">
      <calculatedColumnFormula>COUNTIF(CLEAN_DATA!$D$2:$D$67,A2)</calculatedColumnFormula>
    </tableColumn>
    <tableColumn id="3" xr3:uid="{CCE0B5AF-DC82-4483-920A-6D6C4D03F57E}" name="Converted Leads" totalsRowFunction="sum" dataDxfId="35" totalsRowDxfId="36">
      <calculatedColumnFormula>COUNTIFS(CLEAN_DATA!$D$2:$D$67,A2,CLEAN_DATA!$G$2:$G$67,"Converted")</calculatedColumnFormula>
    </tableColumn>
    <tableColumn id="4" xr3:uid="{0BD582B8-AA45-4FA4-87C5-23C213865489}" name="Conversion Rate" totalsRowFunction="custom" dataDxfId="33" totalsRowDxfId="34">
      <calculatedColumnFormula>C2/B2</calculatedColumnFormula>
      <totalsRowFormula>C22/B22</totalsRow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E2971D2-27F6-4CD9-87D3-0791DD341918}" name="Table11" displayName="Table11" ref="A26:D37" totalsRowCount="1" headerRowDxfId="49" dataDxfId="47" totalsRowDxfId="48">
  <autoFilter ref="A26:D36" xr:uid="{4E2971D2-27F6-4CD9-87D3-0791DD341918}"/>
  <tableColumns count="4">
    <tableColumn id="1" xr3:uid="{0FD0EB9C-FE62-4DE7-AD72-B8A06DAEB3BB}" name="State" totalsRowLabel="Total" dataDxfId="57" totalsRowDxfId="56"/>
    <tableColumn id="2" xr3:uid="{5ED9A2A3-AC36-4466-8705-9258130F5075}" name="Total Leads" totalsRowFunction="sum" dataDxfId="55" totalsRowDxfId="54">
      <calculatedColumnFormula>COUNTIF(CLEAN_DATA!$E$2:$E$67,A27)</calculatedColumnFormula>
    </tableColumn>
    <tableColumn id="3" xr3:uid="{5148A38F-2B0D-447C-81C4-D458C97DD2A4}" name="Converted Leads" totalsRowFunction="sum" dataDxfId="53" totalsRowDxfId="52">
      <calculatedColumnFormula>COUNTIFS(CLEAN_DATA!$E$2:$E$67,A27,CLEAN_DATA!$G$2:$G$67,"Converted")</calculatedColumnFormula>
    </tableColumn>
    <tableColumn id="4" xr3:uid="{A820E4F1-C55D-4CF8-8E33-A3EAD239935B}" name="Conversion Rate" totalsRowFunction="custom" dataDxfId="51" totalsRowDxfId="50">
      <calculatedColumnFormula>C27/B27</calculatedColumnFormula>
      <totalsRowFormula>C37/B37</totalsRow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73A8009-8A5A-452D-AA77-31A27CBC8FB7}" name="Table12" displayName="Table12" ref="F5:H10" totalsRowShown="0" headerRowDxfId="28" dataDxfId="29">
  <autoFilter ref="F5:H10" xr:uid="{973A8009-8A5A-452D-AA77-31A27CBC8FB7}"/>
  <tableColumns count="3">
    <tableColumn id="1" xr3:uid="{2637DC8A-0D18-4C05-AB0C-072E601C487B}" name="Rank" dataDxfId="32"/>
    <tableColumn id="2" xr3:uid="{35850D92-C441-4DBC-80B0-808D11E40D8C}" name="Course" dataDxfId="31">
      <calculatedColumnFormula>INDEX($A$2:$A$21,_xlfn.AGGREGATE(15,6,(ROW($B$2:$B$21)-ROW($B$2)+1)/($B$2:$B$21=H6),COUNTIF($H$5:H5,H6)+1))</calculatedColumnFormula>
    </tableColumn>
    <tableColumn id="3" xr3:uid="{06C1148A-6570-4F6F-90DB-4AC6EE0D500B}" name="Total Leads" dataDxfId="30">
      <calculatedColumnFormula>LARGE($B$2:$B$21,ROWS($H$6:H6))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CEF7D2D-5EBC-4253-876A-5095ABEA7363}" name="Table13" displayName="Table13" ref="F26:H31" totalsRowShown="0" headerRowDxfId="24" dataDxfId="23" headerRowBorderDxfId="26" tableBorderDxfId="27" totalsRowBorderDxfId="25">
  <autoFilter ref="F26:H31" xr:uid="{FCEF7D2D-5EBC-4253-876A-5095ABEA7363}"/>
  <tableColumns count="3">
    <tableColumn id="1" xr3:uid="{B5009193-0C31-47CA-A7ED-4D6AF7E5AB29}" name="Rank" dataDxfId="22"/>
    <tableColumn id="2" xr3:uid="{CE866CD4-4CC0-43C4-B8DB-E8A2B76F48F8}" name="State" dataDxfId="21">
      <calculatedColumnFormula>INDEX($A$27:$A$36,_xlfn.AGGREGATE(15,6,(ROW($B$27:$B$36)-ROW($B$27)+1)/($B$27:$B$36=H27),COUNTIF($H$26:H26,H27)+1))</calculatedColumnFormula>
    </tableColumn>
    <tableColumn id="3" xr3:uid="{8AFE9DF7-9729-45C3-A04D-8B1498B55C64}" name="Total lead" dataDxfId="20">
      <calculatedColumnFormula>LARGE($B$27:$B$36,ROWS($H$27:H27))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3A87FBE-B773-47EB-991B-CE2519A34547}" name="Table14" displayName="Table14" ref="A1:B15" totalsRowShown="0" headerRowDxfId="7" dataDxfId="6">
  <autoFilter ref="A1:B15" xr:uid="{43A87FBE-B773-47EB-991B-CE2519A34547}"/>
  <tableColumns count="2">
    <tableColumn id="1" xr3:uid="{C5D39F21-675F-4182-B342-21227A213927}" name="Section" dataDxfId="9"/>
    <tableColumn id="2" xr3:uid="{06F889F7-9D0E-41A3-BB35-2E811232F1E5}" name="Details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57757-5EB0-4DE4-AB44-73691BC33A21}">
  <dimension ref="A1:I67"/>
  <sheetViews>
    <sheetView workbookViewId="0">
      <selection activeCell="C9" sqref="C9"/>
    </sheetView>
  </sheetViews>
  <sheetFormatPr defaultRowHeight="14.4" x14ac:dyDescent="0.3"/>
  <cols>
    <col min="1" max="1" width="9.109375" style="1" bestFit="1" customWidth="1"/>
    <col min="2" max="2" width="14.33203125" style="1" customWidth="1"/>
    <col min="3" max="3" width="28.21875" style="1" customWidth="1"/>
    <col min="4" max="4" width="41.77734375" style="1" customWidth="1"/>
    <col min="5" max="5" width="16" style="1" customWidth="1"/>
    <col min="6" max="6" width="15.6640625" style="1" customWidth="1"/>
    <col min="7" max="7" width="19.109375" style="1" customWidth="1"/>
    <col min="8" max="8" width="24" style="1" bestFit="1" customWidth="1"/>
    <col min="9" max="9" width="11.21875" style="1" bestFit="1" customWidth="1"/>
    <col min="10" max="16384" width="8.88671875" style="1"/>
  </cols>
  <sheetData>
    <row r="1" spans="1:9" s="4" customFormat="1" ht="26.4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">
      <c r="A3" s="2">
        <v>2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</row>
    <row r="4" spans="1:9" x14ac:dyDescent="0.3">
      <c r="A4" s="2">
        <v>3</v>
      </c>
      <c r="B4" s="2" t="s">
        <v>9</v>
      </c>
      <c r="C4" s="2" t="s">
        <v>23</v>
      </c>
      <c r="D4" s="2" t="s">
        <v>11</v>
      </c>
      <c r="E4" s="2" t="s">
        <v>24</v>
      </c>
      <c r="F4" s="2" t="s">
        <v>13</v>
      </c>
      <c r="G4" s="2" t="s">
        <v>25</v>
      </c>
      <c r="H4" s="2" t="s">
        <v>26</v>
      </c>
      <c r="I4" s="2" t="s">
        <v>27</v>
      </c>
    </row>
    <row r="5" spans="1:9" x14ac:dyDescent="0.3">
      <c r="A5" s="2">
        <v>4</v>
      </c>
      <c r="B5" s="2" t="s">
        <v>9</v>
      </c>
      <c r="C5" s="2" t="s">
        <v>28</v>
      </c>
      <c r="D5" s="2" t="s">
        <v>11</v>
      </c>
      <c r="E5" s="2" t="s">
        <v>29</v>
      </c>
      <c r="F5" s="2" t="s">
        <v>13</v>
      </c>
      <c r="G5" s="2" t="s">
        <v>30</v>
      </c>
      <c r="H5" s="2" t="s">
        <v>31</v>
      </c>
      <c r="I5" s="2" t="s">
        <v>32</v>
      </c>
    </row>
    <row r="6" spans="1:9" x14ac:dyDescent="0.3">
      <c r="A6" s="2">
        <v>5</v>
      </c>
      <c r="B6" s="2" t="s">
        <v>9</v>
      </c>
      <c r="C6" s="2" t="s">
        <v>33</v>
      </c>
      <c r="D6" s="2" t="s">
        <v>11</v>
      </c>
      <c r="E6" s="2" t="s">
        <v>34</v>
      </c>
      <c r="F6" s="2" t="s">
        <v>13</v>
      </c>
      <c r="G6" s="2" t="s">
        <v>14</v>
      </c>
      <c r="H6" s="2" t="s">
        <v>35</v>
      </c>
      <c r="I6" s="2" t="s">
        <v>36</v>
      </c>
    </row>
    <row r="7" spans="1:9" x14ac:dyDescent="0.3">
      <c r="A7" s="2">
        <v>6</v>
      </c>
      <c r="B7" s="2" t="s">
        <v>9</v>
      </c>
      <c r="C7" s="2" t="s">
        <v>37</v>
      </c>
      <c r="D7" s="2" t="s">
        <v>11</v>
      </c>
      <c r="E7" s="2" t="s">
        <v>38</v>
      </c>
      <c r="F7" s="2" t="s">
        <v>19</v>
      </c>
      <c r="G7" s="2" t="s">
        <v>20</v>
      </c>
      <c r="H7" s="2" t="s">
        <v>26</v>
      </c>
      <c r="I7" s="2" t="s">
        <v>16</v>
      </c>
    </row>
    <row r="8" spans="1:9" x14ac:dyDescent="0.3">
      <c r="A8" s="2">
        <v>7</v>
      </c>
      <c r="B8" s="2" t="s">
        <v>9</v>
      </c>
      <c r="C8" s="2" t="s">
        <v>39</v>
      </c>
      <c r="D8" s="2" t="s">
        <v>11</v>
      </c>
      <c r="E8" s="2" t="s">
        <v>40</v>
      </c>
      <c r="F8" s="2" t="s">
        <v>41</v>
      </c>
      <c r="G8" s="2" t="s">
        <v>14</v>
      </c>
      <c r="H8" s="2" t="s">
        <v>26</v>
      </c>
      <c r="I8" s="2" t="s">
        <v>22</v>
      </c>
    </row>
    <row r="9" spans="1:9" x14ac:dyDescent="0.3">
      <c r="A9" s="2">
        <v>8</v>
      </c>
      <c r="B9" s="2" t="s">
        <v>9</v>
      </c>
      <c r="C9" s="2" t="s">
        <v>42</v>
      </c>
      <c r="D9" s="2" t="s">
        <v>11</v>
      </c>
      <c r="E9" s="2" t="s">
        <v>43</v>
      </c>
      <c r="F9" s="2" t="s">
        <v>19</v>
      </c>
      <c r="G9" s="2" t="s">
        <v>25</v>
      </c>
      <c r="H9" s="2" t="s">
        <v>26</v>
      </c>
      <c r="I9" s="2" t="s">
        <v>27</v>
      </c>
    </row>
    <row r="10" spans="1:9" x14ac:dyDescent="0.3">
      <c r="A10" s="2">
        <v>9</v>
      </c>
      <c r="B10" s="2" t="s">
        <v>9</v>
      </c>
      <c r="C10" s="2" t="s">
        <v>44</v>
      </c>
      <c r="D10" s="2" t="s">
        <v>11</v>
      </c>
      <c r="E10" s="2" t="s">
        <v>45</v>
      </c>
      <c r="F10" s="2" t="s">
        <v>46</v>
      </c>
      <c r="G10" s="2" t="s">
        <v>20</v>
      </c>
      <c r="H10" s="2" t="s">
        <v>47</v>
      </c>
      <c r="I10" s="2" t="s">
        <v>32</v>
      </c>
    </row>
    <row r="11" spans="1:9" x14ac:dyDescent="0.3">
      <c r="A11" s="2">
        <v>10</v>
      </c>
      <c r="B11" s="2" t="s">
        <v>9</v>
      </c>
      <c r="C11" s="2" t="s">
        <v>48</v>
      </c>
      <c r="D11" s="2" t="s">
        <v>49</v>
      </c>
      <c r="E11" s="2" t="s">
        <v>50</v>
      </c>
      <c r="F11" s="2" t="s">
        <v>41</v>
      </c>
      <c r="G11" s="2" t="s">
        <v>20</v>
      </c>
      <c r="H11" s="2" t="s">
        <v>51</v>
      </c>
      <c r="I11" s="2" t="s">
        <v>36</v>
      </c>
    </row>
    <row r="12" spans="1:9" x14ac:dyDescent="0.3">
      <c r="A12" s="2">
        <v>11</v>
      </c>
      <c r="B12" s="2" t="s">
        <v>9</v>
      </c>
      <c r="C12" s="2" t="s">
        <v>52</v>
      </c>
      <c r="D12" s="2" t="s">
        <v>11</v>
      </c>
      <c r="E12" s="2" t="s">
        <v>12</v>
      </c>
      <c r="F12" s="2" t="s">
        <v>19</v>
      </c>
      <c r="G12" s="2" t="s">
        <v>25</v>
      </c>
      <c r="H12" s="2" t="s">
        <v>31</v>
      </c>
      <c r="I12" s="2" t="s">
        <v>16</v>
      </c>
    </row>
    <row r="13" spans="1:9" x14ac:dyDescent="0.3">
      <c r="A13" s="2">
        <v>12</v>
      </c>
      <c r="B13" s="2" t="s">
        <v>9</v>
      </c>
      <c r="C13" s="2" t="s">
        <v>53</v>
      </c>
      <c r="D13" s="2" t="s">
        <v>11</v>
      </c>
      <c r="E13" s="2" t="s">
        <v>18</v>
      </c>
      <c r="F13" s="2" t="s">
        <v>54</v>
      </c>
      <c r="G13" s="2" t="s">
        <v>20</v>
      </c>
      <c r="H13" s="2" t="s">
        <v>21</v>
      </c>
      <c r="I13" s="2" t="s">
        <v>22</v>
      </c>
    </row>
    <row r="14" spans="1:9" x14ac:dyDescent="0.3">
      <c r="A14" s="2">
        <v>13</v>
      </c>
      <c r="B14" s="2" t="s">
        <v>9</v>
      </c>
      <c r="C14" s="2" t="s">
        <v>55</v>
      </c>
      <c r="D14" s="2" t="s">
        <v>56</v>
      </c>
      <c r="E14" s="2" t="s">
        <v>24</v>
      </c>
      <c r="F14" s="2" t="s">
        <v>19</v>
      </c>
      <c r="G14" s="2" t="s">
        <v>14</v>
      </c>
      <c r="H14" s="2" t="s">
        <v>57</v>
      </c>
      <c r="I14" s="2" t="s">
        <v>27</v>
      </c>
    </row>
    <row r="15" spans="1:9" x14ac:dyDescent="0.3">
      <c r="A15" s="2">
        <v>14</v>
      </c>
      <c r="B15" s="2" t="s">
        <v>9</v>
      </c>
      <c r="C15" s="2" t="s">
        <v>58</v>
      </c>
      <c r="D15" s="2" t="s">
        <v>59</v>
      </c>
      <c r="E15" s="2" t="s">
        <v>29</v>
      </c>
      <c r="F15" s="2" t="s">
        <v>13</v>
      </c>
      <c r="G15" s="2" t="s">
        <v>14</v>
      </c>
      <c r="H15" s="2" t="s">
        <v>31</v>
      </c>
      <c r="I15" s="2" t="s">
        <v>32</v>
      </c>
    </row>
    <row r="16" spans="1:9" x14ac:dyDescent="0.3">
      <c r="A16" s="2">
        <v>15</v>
      </c>
      <c r="B16" s="2" t="s">
        <v>9</v>
      </c>
      <c r="C16" s="2" t="s">
        <v>60</v>
      </c>
      <c r="D16" s="2" t="s">
        <v>11</v>
      </c>
      <c r="E16" s="2" t="s">
        <v>34</v>
      </c>
      <c r="F16" s="2" t="s">
        <v>13</v>
      </c>
      <c r="G16" s="2" t="s">
        <v>20</v>
      </c>
      <c r="H16" s="2" t="s">
        <v>57</v>
      </c>
      <c r="I16" s="2" t="s">
        <v>36</v>
      </c>
    </row>
    <row r="17" spans="1:9" x14ac:dyDescent="0.3">
      <c r="A17" s="2">
        <v>16</v>
      </c>
      <c r="B17" s="2" t="s">
        <v>9</v>
      </c>
      <c r="C17" s="2" t="s">
        <v>61</v>
      </c>
      <c r="D17" s="2" t="s">
        <v>11</v>
      </c>
      <c r="E17" s="2" t="s">
        <v>38</v>
      </c>
      <c r="F17" s="2" t="s">
        <v>41</v>
      </c>
      <c r="G17" s="2" t="s">
        <v>20</v>
      </c>
      <c r="H17" s="2" t="s">
        <v>51</v>
      </c>
      <c r="I17" s="2" t="s">
        <v>16</v>
      </c>
    </row>
    <row r="18" spans="1:9" x14ac:dyDescent="0.3">
      <c r="A18" s="2">
        <v>17</v>
      </c>
      <c r="B18" s="2" t="s">
        <v>9</v>
      </c>
      <c r="C18" s="2" t="s">
        <v>62</v>
      </c>
      <c r="D18" s="2" t="s">
        <v>63</v>
      </c>
      <c r="E18" s="2" t="s">
        <v>40</v>
      </c>
      <c r="F18" s="2" t="s">
        <v>46</v>
      </c>
      <c r="G18" s="2" t="s">
        <v>30</v>
      </c>
      <c r="H18" s="2" t="s">
        <v>35</v>
      </c>
      <c r="I18" s="2" t="s">
        <v>22</v>
      </c>
    </row>
    <row r="19" spans="1:9" x14ac:dyDescent="0.3">
      <c r="A19" s="2">
        <v>18</v>
      </c>
      <c r="B19" s="2" t="s">
        <v>9</v>
      </c>
      <c r="C19" s="2" t="s">
        <v>64</v>
      </c>
      <c r="D19" s="2" t="s">
        <v>11</v>
      </c>
      <c r="E19" s="2" t="s">
        <v>43</v>
      </c>
      <c r="F19" s="2" t="s">
        <v>46</v>
      </c>
      <c r="G19" s="2" t="s">
        <v>14</v>
      </c>
      <c r="H19" s="2" t="s">
        <v>26</v>
      </c>
      <c r="I19" s="2" t="s">
        <v>27</v>
      </c>
    </row>
    <row r="20" spans="1:9" x14ac:dyDescent="0.3">
      <c r="A20" s="2">
        <v>19</v>
      </c>
      <c r="B20" s="2" t="s">
        <v>9</v>
      </c>
      <c r="C20" s="2" t="s">
        <v>65</v>
      </c>
      <c r="D20" s="2" t="s">
        <v>66</v>
      </c>
      <c r="E20" s="2" t="s">
        <v>45</v>
      </c>
      <c r="F20" s="2" t="s">
        <v>54</v>
      </c>
      <c r="G20" s="2" t="s">
        <v>14</v>
      </c>
      <c r="H20" s="2" t="s">
        <v>67</v>
      </c>
      <c r="I20" s="2" t="s">
        <v>32</v>
      </c>
    </row>
    <row r="21" spans="1:9" x14ac:dyDescent="0.3">
      <c r="A21" s="2">
        <v>20</v>
      </c>
      <c r="B21" s="2" t="s">
        <v>9</v>
      </c>
      <c r="C21" s="2" t="s">
        <v>68</v>
      </c>
      <c r="D21" s="2" t="s">
        <v>69</v>
      </c>
      <c r="E21" s="2" t="s">
        <v>50</v>
      </c>
      <c r="F21" s="2" t="s">
        <v>54</v>
      </c>
      <c r="G21" s="2" t="s">
        <v>30</v>
      </c>
      <c r="H21" s="2" t="s">
        <v>70</v>
      </c>
      <c r="I21" s="2" t="s">
        <v>36</v>
      </c>
    </row>
    <row r="22" spans="1:9" x14ac:dyDescent="0.3">
      <c r="A22" s="2">
        <v>21</v>
      </c>
      <c r="B22" s="2" t="s">
        <v>9</v>
      </c>
      <c r="C22" s="2" t="s">
        <v>71</v>
      </c>
      <c r="D22" s="2" t="s">
        <v>11</v>
      </c>
      <c r="E22" s="2" t="s">
        <v>12</v>
      </c>
      <c r="F22" s="2" t="s">
        <v>13</v>
      </c>
      <c r="G22" s="2" t="s">
        <v>14</v>
      </c>
      <c r="H22" s="2" t="s">
        <v>70</v>
      </c>
      <c r="I22" s="2" t="s">
        <v>16</v>
      </c>
    </row>
    <row r="23" spans="1:9" x14ac:dyDescent="0.3">
      <c r="A23" s="2">
        <v>22</v>
      </c>
      <c r="B23" s="2" t="s">
        <v>9</v>
      </c>
      <c r="C23" s="2" t="s">
        <v>72</v>
      </c>
      <c r="D23" s="2" t="s">
        <v>11</v>
      </c>
      <c r="E23" s="2" t="s">
        <v>18</v>
      </c>
      <c r="F23" s="2" t="s">
        <v>54</v>
      </c>
      <c r="G23" s="2" t="s">
        <v>14</v>
      </c>
      <c r="H23" s="2" t="s">
        <v>70</v>
      </c>
      <c r="I23" s="2" t="s">
        <v>22</v>
      </c>
    </row>
    <row r="24" spans="1:9" x14ac:dyDescent="0.3">
      <c r="A24" s="2">
        <v>23</v>
      </c>
      <c r="B24" s="2" t="s">
        <v>9</v>
      </c>
      <c r="C24" s="2" t="s">
        <v>73</v>
      </c>
      <c r="D24" s="2" t="s">
        <v>74</v>
      </c>
      <c r="E24" s="2" t="s">
        <v>24</v>
      </c>
      <c r="F24" s="2" t="s">
        <v>13</v>
      </c>
      <c r="G24" s="2" t="s">
        <v>75</v>
      </c>
      <c r="H24" s="2" t="s">
        <v>15</v>
      </c>
      <c r="I24" s="2" t="s">
        <v>27</v>
      </c>
    </row>
    <row r="25" spans="1:9" x14ac:dyDescent="0.3">
      <c r="A25" s="2">
        <v>24</v>
      </c>
      <c r="B25" s="2" t="s">
        <v>9</v>
      </c>
      <c r="C25" s="2" t="s">
        <v>76</v>
      </c>
      <c r="D25" s="2" t="s">
        <v>11</v>
      </c>
      <c r="E25" s="2" t="s">
        <v>29</v>
      </c>
      <c r="F25" s="2" t="s">
        <v>46</v>
      </c>
      <c r="G25" s="2" t="s">
        <v>25</v>
      </c>
      <c r="H25" s="2" t="s">
        <v>57</v>
      </c>
      <c r="I25" s="2" t="s">
        <v>32</v>
      </c>
    </row>
    <row r="26" spans="1:9" x14ac:dyDescent="0.3">
      <c r="A26" s="2">
        <v>25</v>
      </c>
      <c r="B26" s="2" t="s">
        <v>9</v>
      </c>
      <c r="C26" s="2" t="s">
        <v>77</v>
      </c>
      <c r="D26" s="2" t="s">
        <v>11</v>
      </c>
      <c r="E26" s="2" t="s">
        <v>34</v>
      </c>
      <c r="F26" s="2" t="s">
        <v>19</v>
      </c>
      <c r="G26" s="2" t="s">
        <v>20</v>
      </c>
      <c r="H26" s="2" t="s">
        <v>57</v>
      </c>
      <c r="I26" s="2" t="s">
        <v>36</v>
      </c>
    </row>
    <row r="27" spans="1:9" x14ac:dyDescent="0.3">
      <c r="A27" s="2">
        <v>26</v>
      </c>
      <c r="B27" s="2" t="s">
        <v>9</v>
      </c>
      <c r="C27" s="2" t="s">
        <v>78</v>
      </c>
      <c r="D27" s="2" t="s">
        <v>11</v>
      </c>
      <c r="E27" s="2" t="s">
        <v>38</v>
      </c>
      <c r="F27" s="2" t="s">
        <v>19</v>
      </c>
      <c r="G27" s="2" t="s">
        <v>25</v>
      </c>
      <c r="H27" s="2" t="s">
        <v>15</v>
      </c>
      <c r="I27" s="2" t="s">
        <v>16</v>
      </c>
    </row>
    <row r="28" spans="1:9" x14ac:dyDescent="0.3">
      <c r="A28" s="2">
        <v>27</v>
      </c>
      <c r="B28" s="2" t="s">
        <v>9</v>
      </c>
      <c r="C28" s="2" t="s">
        <v>10</v>
      </c>
      <c r="D28" s="2" t="s">
        <v>11</v>
      </c>
      <c r="E28" s="2" t="s">
        <v>40</v>
      </c>
      <c r="F28" s="2" t="s">
        <v>13</v>
      </c>
      <c r="G28" s="2" t="s">
        <v>30</v>
      </c>
      <c r="H28" s="2" t="s">
        <v>21</v>
      </c>
      <c r="I28" s="2" t="s">
        <v>22</v>
      </c>
    </row>
    <row r="29" spans="1:9" x14ac:dyDescent="0.3">
      <c r="A29" s="2">
        <v>28</v>
      </c>
      <c r="B29" s="2" t="s">
        <v>9</v>
      </c>
      <c r="C29" s="2" t="s">
        <v>23</v>
      </c>
      <c r="D29" s="2" t="s">
        <v>11</v>
      </c>
      <c r="E29" s="2" t="s">
        <v>43</v>
      </c>
      <c r="F29" s="2" t="s">
        <v>41</v>
      </c>
      <c r="G29" s="2" t="s">
        <v>25</v>
      </c>
      <c r="H29" s="2" t="s">
        <v>70</v>
      </c>
      <c r="I29" s="2" t="s">
        <v>27</v>
      </c>
    </row>
    <row r="30" spans="1:9" x14ac:dyDescent="0.3">
      <c r="A30" s="2">
        <v>29</v>
      </c>
      <c r="B30" s="2" t="s">
        <v>9</v>
      </c>
      <c r="C30" s="2" t="s">
        <v>28</v>
      </c>
      <c r="D30" s="2" t="s">
        <v>11</v>
      </c>
      <c r="E30" s="2" t="s">
        <v>45</v>
      </c>
      <c r="F30" s="2" t="s">
        <v>19</v>
      </c>
      <c r="G30" s="2" t="s">
        <v>75</v>
      </c>
      <c r="H30" s="2" t="s">
        <v>31</v>
      </c>
      <c r="I30" s="2" t="s">
        <v>32</v>
      </c>
    </row>
    <row r="31" spans="1:9" x14ac:dyDescent="0.3">
      <c r="A31" s="2">
        <v>30</v>
      </c>
      <c r="B31" s="2" t="s">
        <v>9</v>
      </c>
      <c r="C31" s="2" t="s">
        <v>33</v>
      </c>
      <c r="D31" s="2" t="s">
        <v>11</v>
      </c>
      <c r="E31" s="2" t="s">
        <v>50</v>
      </c>
      <c r="F31" s="2" t="s">
        <v>54</v>
      </c>
      <c r="G31" s="2" t="s">
        <v>25</v>
      </c>
      <c r="H31" s="2" t="s">
        <v>26</v>
      </c>
      <c r="I31" s="2" t="s">
        <v>36</v>
      </c>
    </row>
    <row r="32" spans="1:9" x14ac:dyDescent="0.3">
      <c r="A32" s="2">
        <v>31</v>
      </c>
      <c r="B32" s="2" t="s">
        <v>9</v>
      </c>
      <c r="C32" s="2" t="s">
        <v>37</v>
      </c>
      <c r="D32" s="2" t="s">
        <v>11</v>
      </c>
      <c r="E32" s="2" t="s">
        <v>12</v>
      </c>
      <c r="F32" s="2" t="s">
        <v>19</v>
      </c>
      <c r="G32" s="2" t="s">
        <v>25</v>
      </c>
      <c r="H32" s="2" t="s">
        <v>57</v>
      </c>
      <c r="I32" s="2" t="s">
        <v>16</v>
      </c>
    </row>
    <row r="33" spans="1:9" x14ac:dyDescent="0.3">
      <c r="A33" s="2">
        <v>32</v>
      </c>
      <c r="B33" s="2" t="s">
        <v>9</v>
      </c>
      <c r="C33" s="2" t="s">
        <v>39</v>
      </c>
      <c r="D33" s="2" t="s">
        <v>11</v>
      </c>
      <c r="E33" s="2" t="s">
        <v>18</v>
      </c>
      <c r="F33" s="2" t="s">
        <v>13</v>
      </c>
      <c r="G33" s="2" t="s">
        <v>20</v>
      </c>
      <c r="H33" s="2" t="s">
        <v>51</v>
      </c>
      <c r="I33" s="2" t="s">
        <v>22</v>
      </c>
    </row>
    <row r="34" spans="1:9" x14ac:dyDescent="0.3">
      <c r="A34" s="2">
        <v>33</v>
      </c>
      <c r="B34" s="2" t="s">
        <v>9</v>
      </c>
      <c r="C34" s="2" t="s">
        <v>79</v>
      </c>
      <c r="D34" s="2" t="s">
        <v>11</v>
      </c>
      <c r="E34" s="2" t="s">
        <v>24</v>
      </c>
      <c r="F34" s="2" t="s">
        <v>54</v>
      </c>
      <c r="G34" s="2" t="s">
        <v>75</v>
      </c>
      <c r="H34" s="2" t="s">
        <v>15</v>
      </c>
      <c r="I34" s="2" t="s">
        <v>27</v>
      </c>
    </row>
    <row r="35" spans="1:9" x14ac:dyDescent="0.3">
      <c r="A35" s="2">
        <v>34</v>
      </c>
      <c r="B35" s="2" t="s">
        <v>9</v>
      </c>
      <c r="C35" s="2" t="s">
        <v>80</v>
      </c>
      <c r="D35" s="2" t="s">
        <v>11</v>
      </c>
      <c r="E35" s="2" t="s">
        <v>29</v>
      </c>
      <c r="F35" s="2" t="s">
        <v>13</v>
      </c>
      <c r="G35" s="2" t="s">
        <v>20</v>
      </c>
      <c r="H35" s="2" t="s">
        <v>67</v>
      </c>
      <c r="I35" s="2" t="s">
        <v>32</v>
      </c>
    </row>
    <row r="36" spans="1:9" x14ac:dyDescent="0.3">
      <c r="A36" s="2">
        <v>35</v>
      </c>
      <c r="B36" s="2" t="s">
        <v>9</v>
      </c>
      <c r="C36" s="2" t="s">
        <v>76</v>
      </c>
      <c r="D36" s="2" t="s">
        <v>11</v>
      </c>
      <c r="E36" s="2" t="s">
        <v>34</v>
      </c>
      <c r="F36" s="2" t="s">
        <v>54</v>
      </c>
      <c r="G36" s="2" t="s">
        <v>20</v>
      </c>
      <c r="H36" s="2" t="s">
        <v>47</v>
      </c>
      <c r="I36" s="2" t="s">
        <v>36</v>
      </c>
    </row>
    <row r="37" spans="1:9" x14ac:dyDescent="0.3">
      <c r="A37" s="2">
        <v>36</v>
      </c>
      <c r="B37" s="2" t="s">
        <v>81</v>
      </c>
      <c r="C37" s="2" t="s">
        <v>82</v>
      </c>
      <c r="D37" s="2" t="s">
        <v>83</v>
      </c>
      <c r="E37" s="2" t="s">
        <v>38</v>
      </c>
      <c r="F37" s="2" t="s">
        <v>46</v>
      </c>
      <c r="G37" s="2" t="s">
        <v>25</v>
      </c>
      <c r="H37" s="2" t="s">
        <v>47</v>
      </c>
      <c r="I37" s="2" t="s">
        <v>16</v>
      </c>
    </row>
    <row r="38" spans="1:9" x14ac:dyDescent="0.3">
      <c r="A38" s="2">
        <v>37</v>
      </c>
      <c r="B38" s="2" t="s">
        <v>81</v>
      </c>
      <c r="C38" s="2" t="s">
        <v>84</v>
      </c>
      <c r="D38" s="2" t="s">
        <v>81</v>
      </c>
      <c r="E38" s="2" t="s">
        <v>40</v>
      </c>
      <c r="F38" s="2" t="s">
        <v>19</v>
      </c>
      <c r="G38" s="2" t="s">
        <v>20</v>
      </c>
      <c r="H38" s="2" t="s">
        <v>21</v>
      </c>
      <c r="I38" s="2" t="s">
        <v>22</v>
      </c>
    </row>
    <row r="39" spans="1:9" x14ac:dyDescent="0.3">
      <c r="A39" s="2">
        <v>38</v>
      </c>
      <c r="B39" s="2" t="s">
        <v>81</v>
      </c>
      <c r="C39" s="2" t="s">
        <v>85</v>
      </c>
      <c r="D39" s="2" t="s">
        <v>81</v>
      </c>
      <c r="E39" s="2" t="s">
        <v>43</v>
      </c>
      <c r="F39" s="2" t="s">
        <v>19</v>
      </c>
      <c r="G39" s="2" t="s">
        <v>25</v>
      </c>
      <c r="H39" s="2" t="s">
        <v>26</v>
      </c>
      <c r="I39" s="2" t="s">
        <v>27</v>
      </c>
    </row>
    <row r="40" spans="1:9" x14ac:dyDescent="0.3">
      <c r="A40" s="2">
        <v>39</v>
      </c>
      <c r="B40" s="2" t="s">
        <v>81</v>
      </c>
      <c r="C40" s="2" t="s">
        <v>86</v>
      </c>
      <c r="D40" s="2" t="s">
        <v>81</v>
      </c>
      <c r="E40" s="2" t="s">
        <v>45</v>
      </c>
      <c r="F40" s="2" t="s">
        <v>41</v>
      </c>
      <c r="G40" s="2" t="s">
        <v>20</v>
      </c>
      <c r="H40" s="2" t="s">
        <v>67</v>
      </c>
      <c r="I40" s="2" t="s">
        <v>32</v>
      </c>
    </row>
    <row r="41" spans="1:9" x14ac:dyDescent="0.3">
      <c r="A41" s="2">
        <v>40</v>
      </c>
      <c r="B41" s="2" t="s">
        <v>81</v>
      </c>
      <c r="C41" s="2" t="s">
        <v>85</v>
      </c>
      <c r="D41" s="2" t="s">
        <v>81</v>
      </c>
      <c r="E41" s="2" t="s">
        <v>50</v>
      </c>
      <c r="F41" s="2" t="s">
        <v>46</v>
      </c>
      <c r="G41" s="2" t="s">
        <v>30</v>
      </c>
      <c r="H41" s="2" t="s">
        <v>31</v>
      </c>
      <c r="I41" s="2" t="s">
        <v>36</v>
      </c>
    </row>
    <row r="42" spans="1:9" x14ac:dyDescent="0.3">
      <c r="A42" s="2">
        <v>41</v>
      </c>
      <c r="B42" s="2" t="s">
        <v>87</v>
      </c>
      <c r="C42" s="2" t="s">
        <v>88</v>
      </c>
      <c r="D42" s="2" t="s">
        <v>89</v>
      </c>
      <c r="E42" s="2" t="s">
        <v>12</v>
      </c>
      <c r="F42" s="2" t="s">
        <v>54</v>
      </c>
      <c r="G42" s="2" t="s">
        <v>20</v>
      </c>
      <c r="H42" s="2" t="s">
        <v>21</v>
      </c>
      <c r="I42" s="2" t="s">
        <v>16</v>
      </c>
    </row>
    <row r="43" spans="1:9" x14ac:dyDescent="0.3">
      <c r="A43" s="2">
        <v>42</v>
      </c>
      <c r="B43" s="2" t="s">
        <v>87</v>
      </c>
      <c r="C43" s="2" t="s">
        <v>90</v>
      </c>
      <c r="D43" s="2" t="s">
        <v>91</v>
      </c>
      <c r="E43" s="2" t="s">
        <v>18</v>
      </c>
      <c r="F43" s="2" t="s">
        <v>41</v>
      </c>
      <c r="G43" s="2" t="s">
        <v>75</v>
      </c>
      <c r="H43" s="2" t="s">
        <v>35</v>
      </c>
      <c r="I43" s="2" t="s">
        <v>22</v>
      </c>
    </row>
    <row r="44" spans="1:9" x14ac:dyDescent="0.3">
      <c r="A44" s="2">
        <v>43</v>
      </c>
      <c r="B44" s="2" t="s">
        <v>87</v>
      </c>
      <c r="C44" s="2" t="s">
        <v>92</v>
      </c>
      <c r="D44" s="2" t="s">
        <v>93</v>
      </c>
      <c r="E44" s="2" t="s">
        <v>24</v>
      </c>
      <c r="F44" s="2" t="s">
        <v>13</v>
      </c>
      <c r="G44" s="2" t="s">
        <v>14</v>
      </c>
      <c r="H44" s="2" t="s">
        <v>35</v>
      </c>
      <c r="I44" s="2" t="s">
        <v>27</v>
      </c>
    </row>
    <row r="45" spans="1:9" x14ac:dyDescent="0.3">
      <c r="A45" s="2">
        <v>44</v>
      </c>
      <c r="B45" s="2" t="s">
        <v>87</v>
      </c>
      <c r="C45" s="2" t="s">
        <v>94</v>
      </c>
      <c r="D45" s="2" t="s">
        <v>89</v>
      </c>
      <c r="E45" s="2" t="s">
        <v>29</v>
      </c>
      <c r="F45" s="2" t="s">
        <v>19</v>
      </c>
      <c r="G45" s="2" t="s">
        <v>25</v>
      </c>
      <c r="H45" s="2" t="s">
        <v>21</v>
      </c>
      <c r="I45" s="2" t="s">
        <v>32</v>
      </c>
    </row>
    <row r="46" spans="1:9" x14ac:dyDescent="0.3">
      <c r="A46" s="2">
        <v>45</v>
      </c>
      <c r="B46" s="2" t="s">
        <v>87</v>
      </c>
      <c r="C46" s="2" t="s">
        <v>95</v>
      </c>
      <c r="D46" s="2" t="s">
        <v>96</v>
      </c>
      <c r="E46" s="2" t="s">
        <v>34</v>
      </c>
      <c r="F46" s="2" t="s">
        <v>46</v>
      </c>
      <c r="G46" s="2" t="s">
        <v>30</v>
      </c>
      <c r="H46" s="2" t="s">
        <v>35</v>
      </c>
      <c r="I46" s="2" t="s">
        <v>36</v>
      </c>
    </row>
    <row r="47" spans="1:9" x14ac:dyDescent="0.3">
      <c r="A47" s="2">
        <v>46</v>
      </c>
      <c r="B47" s="2" t="s">
        <v>87</v>
      </c>
      <c r="C47" s="2" t="s">
        <v>92</v>
      </c>
      <c r="D47" s="2" t="s">
        <v>93</v>
      </c>
      <c r="E47" s="2" t="s">
        <v>38</v>
      </c>
      <c r="F47" s="2" t="s">
        <v>46</v>
      </c>
      <c r="G47" s="2" t="s">
        <v>75</v>
      </c>
      <c r="H47" s="2" t="s">
        <v>67</v>
      </c>
      <c r="I47" s="2" t="s">
        <v>16</v>
      </c>
    </row>
    <row r="48" spans="1:9" x14ac:dyDescent="0.3">
      <c r="A48" s="2">
        <v>47</v>
      </c>
      <c r="B48" s="2" t="s">
        <v>87</v>
      </c>
      <c r="C48" s="2" t="s">
        <v>94</v>
      </c>
      <c r="D48" s="2" t="s">
        <v>89</v>
      </c>
      <c r="E48" s="2" t="s">
        <v>40</v>
      </c>
      <c r="F48" s="2" t="s">
        <v>46</v>
      </c>
      <c r="G48" s="2" t="s">
        <v>30</v>
      </c>
      <c r="H48" s="2" t="s">
        <v>15</v>
      </c>
      <c r="I48" s="2" t="s">
        <v>22</v>
      </c>
    </row>
    <row r="49" spans="1:9" x14ac:dyDescent="0.3">
      <c r="A49" s="2">
        <v>48</v>
      </c>
      <c r="B49" s="2" t="s">
        <v>97</v>
      </c>
      <c r="C49" s="2" t="s">
        <v>98</v>
      </c>
      <c r="D49" s="2" t="s">
        <v>11</v>
      </c>
      <c r="E49" s="2" t="s">
        <v>43</v>
      </c>
      <c r="F49" s="2" t="s">
        <v>41</v>
      </c>
      <c r="G49" s="2" t="s">
        <v>14</v>
      </c>
      <c r="H49" s="2" t="s">
        <v>51</v>
      </c>
      <c r="I49" s="2" t="s">
        <v>27</v>
      </c>
    </row>
    <row r="50" spans="1:9" x14ac:dyDescent="0.3">
      <c r="A50" s="2">
        <v>49</v>
      </c>
      <c r="B50" s="2" t="s">
        <v>97</v>
      </c>
      <c r="C50" s="2" t="s">
        <v>99</v>
      </c>
      <c r="D50" s="2" t="s">
        <v>100</v>
      </c>
      <c r="E50" s="2" t="s">
        <v>45</v>
      </c>
      <c r="F50" s="2" t="s">
        <v>13</v>
      </c>
      <c r="G50" s="2" t="s">
        <v>25</v>
      </c>
      <c r="H50" s="2" t="s">
        <v>26</v>
      </c>
      <c r="I50" s="2" t="s">
        <v>32</v>
      </c>
    </row>
    <row r="51" spans="1:9" x14ac:dyDescent="0.3">
      <c r="A51" s="2">
        <v>50</v>
      </c>
      <c r="B51" s="2" t="s">
        <v>97</v>
      </c>
      <c r="C51" s="2" t="s">
        <v>101</v>
      </c>
      <c r="D51" s="2" t="s">
        <v>100</v>
      </c>
      <c r="E51" s="2" t="s">
        <v>50</v>
      </c>
      <c r="F51" s="2" t="s">
        <v>54</v>
      </c>
      <c r="G51" s="2" t="s">
        <v>14</v>
      </c>
      <c r="H51" s="2" t="s">
        <v>57</v>
      </c>
      <c r="I51" s="2" t="s">
        <v>36</v>
      </c>
    </row>
    <row r="52" spans="1:9" x14ac:dyDescent="0.3">
      <c r="A52" s="2">
        <v>51</v>
      </c>
      <c r="B52" s="2" t="s">
        <v>97</v>
      </c>
      <c r="C52" s="2" t="s">
        <v>102</v>
      </c>
      <c r="D52" s="2" t="s">
        <v>100</v>
      </c>
      <c r="E52" s="2" t="s">
        <v>12</v>
      </c>
      <c r="F52" s="2" t="s">
        <v>13</v>
      </c>
      <c r="G52" s="2" t="s">
        <v>20</v>
      </c>
      <c r="H52" s="2" t="s">
        <v>31</v>
      </c>
      <c r="I52" s="2" t="s">
        <v>16</v>
      </c>
    </row>
    <row r="53" spans="1:9" x14ac:dyDescent="0.3">
      <c r="A53" s="2">
        <v>52</v>
      </c>
      <c r="B53" s="2" t="s">
        <v>97</v>
      </c>
      <c r="C53" s="2" t="s">
        <v>98</v>
      </c>
      <c r="D53" s="2" t="s">
        <v>100</v>
      </c>
      <c r="E53" s="2" t="s">
        <v>18</v>
      </c>
      <c r="F53" s="2" t="s">
        <v>19</v>
      </c>
      <c r="G53" s="2" t="s">
        <v>75</v>
      </c>
      <c r="H53" s="2" t="s">
        <v>51</v>
      </c>
      <c r="I53" s="2" t="s">
        <v>22</v>
      </c>
    </row>
    <row r="54" spans="1:9" x14ac:dyDescent="0.3">
      <c r="A54" s="2">
        <v>53</v>
      </c>
      <c r="B54" s="2" t="s">
        <v>97</v>
      </c>
      <c r="C54" s="2" t="s">
        <v>103</v>
      </c>
      <c r="D54" s="2" t="s">
        <v>100</v>
      </c>
      <c r="E54" s="2" t="s">
        <v>24</v>
      </c>
      <c r="F54" s="2" t="s">
        <v>54</v>
      </c>
      <c r="G54" s="2" t="s">
        <v>30</v>
      </c>
      <c r="H54" s="2" t="s">
        <v>21</v>
      </c>
      <c r="I54" s="2" t="s">
        <v>27</v>
      </c>
    </row>
    <row r="55" spans="1:9" x14ac:dyDescent="0.3">
      <c r="A55" s="2">
        <v>54</v>
      </c>
      <c r="B55" s="2" t="s">
        <v>97</v>
      </c>
      <c r="C55" s="2" t="s">
        <v>102</v>
      </c>
      <c r="D55" s="2" t="s">
        <v>100</v>
      </c>
      <c r="E55" s="2" t="s">
        <v>29</v>
      </c>
      <c r="F55" s="2" t="s">
        <v>41</v>
      </c>
      <c r="G55" s="2" t="s">
        <v>14</v>
      </c>
      <c r="H55" s="2" t="s">
        <v>15</v>
      </c>
      <c r="I55" s="2" t="s">
        <v>32</v>
      </c>
    </row>
    <row r="56" spans="1:9" x14ac:dyDescent="0.3">
      <c r="A56" s="2">
        <v>55</v>
      </c>
      <c r="B56" s="2" t="s">
        <v>104</v>
      </c>
      <c r="C56" s="2" t="s">
        <v>105</v>
      </c>
      <c r="D56" s="2" t="s">
        <v>106</v>
      </c>
      <c r="E56" s="2" t="s">
        <v>34</v>
      </c>
      <c r="F56" s="2" t="s">
        <v>41</v>
      </c>
      <c r="G56" s="2" t="s">
        <v>30</v>
      </c>
      <c r="H56" s="2" t="s">
        <v>70</v>
      </c>
      <c r="I56" s="2" t="s">
        <v>36</v>
      </c>
    </row>
    <row r="57" spans="1:9" x14ac:dyDescent="0.3">
      <c r="A57" s="2">
        <v>56</v>
      </c>
      <c r="B57" s="2" t="s">
        <v>104</v>
      </c>
      <c r="C57" s="2" t="s">
        <v>107</v>
      </c>
      <c r="D57" s="2" t="s">
        <v>108</v>
      </c>
      <c r="E57" s="2" t="s">
        <v>38</v>
      </c>
      <c r="F57" s="2" t="s">
        <v>19</v>
      </c>
      <c r="G57" s="2" t="s">
        <v>20</v>
      </c>
      <c r="H57" s="2" t="s">
        <v>21</v>
      </c>
      <c r="I57" s="2" t="s">
        <v>16</v>
      </c>
    </row>
    <row r="58" spans="1:9" x14ac:dyDescent="0.3">
      <c r="A58" s="2">
        <v>57</v>
      </c>
      <c r="B58" s="2" t="s">
        <v>104</v>
      </c>
      <c r="C58" s="2" t="s">
        <v>109</v>
      </c>
      <c r="D58" s="2" t="s">
        <v>108</v>
      </c>
      <c r="E58" s="2" t="s">
        <v>40</v>
      </c>
      <c r="F58" s="2" t="s">
        <v>41</v>
      </c>
      <c r="G58" s="2" t="s">
        <v>14</v>
      </c>
      <c r="H58" s="2" t="s">
        <v>26</v>
      </c>
      <c r="I58" s="2" t="s">
        <v>22</v>
      </c>
    </row>
    <row r="59" spans="1:9" x14ac:dyDescent="0.3">
      <c r="A59" s="2">
        <v>58</v>
      </c>
      <c r="B59" s="2" t="s">
        <v>110</v>
      </c>
      <c r="C59" s="2" t="s">
        <v>111</v>
      </c>
      <c r="D59" s="2" t="s">
        <v>112</v>
      </c>
      <c r="E59" s="2" t="s">
        <v>43</v>
      </c>
      <c r="F59" s="2" t="s">
        <v>13</v>
      </c>
      <c r="G59" s="2" t="s">
        <v>30</v>
      </c>
      <c r="H59" s="2" t="s">
        <v>57</v>
      </c>
      <c r="I59" s="2" t="s">
        <v>27</v>
      </c>
    </row>
    <row r="60" spans="1:9" x14ac:dyDescent="0.3">
      <c r="A60" s="2">
        <v>59</v>
      </c>
      <c r="B60" s="2" t="s">
        <v>110</v>
      </c>
      <c r="C60" s="2" t="s">
        <v>113</v>
      </c>
      <c r="D60" s="2" t="s">
        <v>112</v>
      </c>
      <c r="E60" s="2" t="s">
        <v>45</v>
      </c>
      <c r="F60" s="2" t="s">
        <v>46</v>
      </c>
      <c r="G60" s="2" t="s">
        <v>14</v>
      </c>
      <c r="H60" s="2" t="s">
        <v>35</v>
      </c>
      <c r="I60" s="2" t="s">
        <v>32</v>
      </c>
    </row>
    <row r="61" spans="1:9" x14ac:dyDescent="0.3">
      <c r="A61" s="2">
        <v>60</v>
      </c>
      <c r="B61" s="2" t="s">
        <v>110</v>
      </c>
      <c r="C61" s="2" t="s">
        <v>111</v>
      </c>
      <c r="D61" s="2" t="s">
        <v>112</v>
      </c>
      <c r="E61" s="2" t="s">
        <v>50</v>
      </c>
      <c r="F61" s="2" t="s">
        <v>54</v>
      </c>
      <c r="G61" s="2" t="s">
        <v>14</v>
      </c>
      <c r="H61" s="2" t="s">
        <v>15</v>
      </c>
      <c r="I61" s="2" t="s">
        <v>36</v>
      </c>
    </row>
    <row r="62" spans="1:9" x14ac:dyDescent="0.3">
      <c r="A62" s="2">
        <v>61</v>
      </c>
      <c r="B62" s="2" t="s">
        <v>110</v>
      </c>
      <c r="C62" s="2" t="s">
        <v>114</v>
      </c>
      <c r="D62" s="2" t="s">
        <v>112</v>
      </c>
      <c r="E62" s="2" t="s">
        <v>12</v>
      </c>
      <c r="F62" s="2" t="s">
        <v>19</v>
      </c>
      <c r="G62" s="2" t="s">
        <v>14</v>
      </c>
      <c r="H62" s="2" t="s">
        <v>70</v>
      </c>
      <c r="I62" s="2" t="s">
        <v>16</v>
      </c>
    </row>
    <row r="63" spans="1:9" x14ac:dyDescent="0.3">
      <c r="A63" s="2">
        <v>62</v>
      </c>
      <c r="B63" s="2" t="s">
        <v>115</v>
      </c>
      <c r="C63" s="2" t="s">
        <v>116</v>
      </c>
      <c r="D63" s="2" t="s">
        <v>117</v>
      </c>
      <c r="E63" s="2" t="s">
        <v>18</v>
      </c>
      <c r="F63" s="2" t="s">
        <v>41</v>
      </c>
      <c r="G63" s="2" t="s">
        <v>14</v>
      </c>
      <c r="H63" s="2" t="s">
        <v>35</v>
      </c>
      <c r="I63" s="2" t="s">
        <v>22</v>
      </c>
    </row>
    <row r="64" spans="1:9" x14ac:dyDescent="0.3">
      <c r="A64" s="2">
        <v>63</v>
      </c>
      <c r="B64" s="2" t="s">
        <v>115</v>
      </c>
      <c r="C64" s="2" t="s">
        <v>118</v>
      </c>
      <c r="D64" s="2" t="s">
        <v>117</v>
      </c>
      <c r="E64" s="2" t="s">
        <v>24</v>
      </c>
      <c r="F64" s="2" t="s">
        <v>46</v>
      </c>
      <c r="G64" s="2" t="s">
        <v>14</v>
      </c>
      <c r="H64" s="2" t="s">
        <v>35</v>
      </c>
      <c r="I64" s="2" t="s">
        <v>27</v>
      </c>
    </row>
    <row r="65" spans="1:9" x14ac:dyDescent="0.3">
      <c r="A65" s="2">
        <v>64</v>
      </c>
      <c r="B65" s="2" t="s">
        <v>119</v>
      </c>
      <c r="C65" s="2" t="s">
        <v>120</v>
      </c>
      <c r="D65" s="2" t="s">
        <v>121</v>
      </c>
      <c r="E65" s="2" t="s">
        <v>29</v>
      </c>
      <c r="F65" s="2" t="s">
        <v>41</v>
      </c>
      <c r="G65" s="2" t="s">
        <v>14</v>
      </c>
      <c r="H65" s="2" t="s">
        <v>21</v>
      </c>
      <c r="I65" s="2" t="s">
        <v>32</v>
      </c>
    </row>
    <row r="66" spans="1:9" x14ac:dyDescent="0.3">
      <c r="A66" s="2">
        <v>65</v>
      </c>
      <c r="B66" s="2" t="s">
        <v>97</v>
      </c>
      <c r="C66" s="2" t="s">
        <v>103</v>
      </c>
      <c r="D66" s="2" t="s">
        <v>100</v>
      </c>
      <c r="E66" s="2" t="s">
        <v>34</v>
      </c>
      <c r="F66" s="2" t="s">
        <v>19</v>
      </c>
      <c r="G66" s="2" t="s">
        <v>25</v>
      </c>
      <c r="H66" s="2" t="s">
        <v>47</v>
      </c>
      <c r="I66" s="2" t="s">
        <v>36</v>
      </c>
    </row>
    <row r="67" spans="1:9" x14ac:dyDescent="0.3">
      <c r="A67" s="2">
        <v>66</v>
      </c>
      <c r="B67" s="2" t="s">
        <v>9</v>
      </c>
      <c r="C67" s="2" t="s">
        <v>95</v>
      </c>
      <c r="D67" s="2" t="s">
        <v>96</v>
      </c>
      <c r="E67" s="2" t="s">
        <v>38</v>
      </c>
      <c r="F67" s="2" t="s">
        <v>41</v>
      </c>
      <c r="G67" s="2" t="s">
        <v>20</v>
      </c>
      <c r="H67" s="2" t="s">
        <v>15</v>
      </c>
      <c r="I67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2B9A-9C42-4580-983F-FABFCE05DE4D}">
  <dimension ref="A1:P67"/>
  <sheetViews>
    <sheetView topLeftCell="E30" zoomScale="77" workbookViewId="0">
      <selection activeCell="G1" sqref="G1:M67"/>
    </sheetView>
  </sheetViews>
  <sheetFormatPr defaultRowHeight="14.4" x14ac:dyDescent="0.3"/>
  <cols>
    <col min="1" max="1" width="13.5546875" bestFit="1" customWidth="1"/>
    <col min="2" max="2" width="13.109375" bestFit="1" customWidth="1"/>
    <col min="3" max="3" width="23.5546875" bestFit="1" customWidth="1"/>
    <col min="4" max="4" width="39.21875" bestFit="1" customWidth="1"/>
    <col min="5" max="5" width="18.44140625" bestFit="1" customWidth="1"/>
    <col min="6" max="6" width="19.88671875" bestFit="1" customWidth="1"/>
    <col min="7" max="7" width="15.109375" bestFit="1" customWidth="1"/>
    <col min="8" max="8" width="24" bestFit="1" customWidth="1"/>
    <col min="9" max="9" width="15.6640625" bestFit="1" customWidth="1"/>
    <col min="10" max="10" width="19.5546875" style="5" bestFit="1" customWidth="1"/>
    <col min="11" max="11" width="22.6640625" bestFit="1" customWidth="1"/>
    <col min="12" max="12" width="19.109375" bestFit="1" customWidth="1"/>
    <col min="13" max="13" width="22" style="5" bestFit="1" customWidth="1"/>
    <col min="15" max="15" width="13.44140625" bestFit="1" customWidth="1"/>
  </cols>
  <sheetData>
    <row r="1" spans="1:16" s="8" customFormat="1" ht="21.6" customHeight="1" x14ac:dyDescent="0.3">
      <c r="A1" s="9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122</v>
      </c>
      <c r="K1" s="22" t="s">
        <v>123</v>
      </c>
      <c r="L1" s="22" t="s">
        <v>131</v>
      </c>
      <c r="M1" s="10" t="s">
        <v>137</v>
      </c>
    </row>
    <row r="2" spans="1:16" x14ac:dyDescent="0.3">
      <c r="A2" s="18">
        <v>1</v>
      </c>
      <c r="B2" s="19" t="s">
        <v>9</v>
      </c>
      <c r="C2" s="19" t="s">
        <v>10</v>
      </c>
      <c r="D2" s="19" t="s">
        <v>11</v>
      </c>
      <c r="E2" s="19" t="s">
        <v>12</v>
      </c>
      <c r="F2" s="19" t="s">
        <v>13</v>
      </c>
      <c r="G2" s="19" t="s">
        <v>14</v>
      </c>
      <c r="H2" s="19" t="s">
        <v>15</v>
      </c>
      <c r="I2" s="19" t="s">
        <v>16</v>
      </c>
      <c r="J2" s="14" t="s">
        <v>130</v>
      </c>
      <c r="K2" s="19"/>
      <c r="L2" s="14" t="str">
        <f>IF(J2="Yes","Review",IF(COUNTIF($C$2:$C$67,C2)&gt;1,"Duplicate","Unique"))</f>
        <v>Duplicate</v>
      </c>
      <c r="M2" s="11" t="str">
        <f>IF(OR(G2="Follow-up",H2="Call back tomorrow",H2="Interested - follow up"),"Yes","No")</f>
        <v>No</v>
      </c>
      <c r="O2" s="7" t="s">
        <v>132</v>
      </c>
      <c r="P2" s="7">
        <f>COUNTIF(L2:L67,"Duplicate")</f>
        <v>30</v>
      </c>
    </row>
    <row r="3" spans="1:16" x14ac:dyDescent="0.3">
      <c r="A3" s="18">
        <v>2</v>
      </c>
      <c r="B3" s="19" t="s">
        <v>9</v>
      </c>
      <c r="C3" s="19" t="s">
        <v>17</v>
      </c>
      <c r="D3" s="19" t="s">
        <v>11</v>
      </c>
      <c r="E3" s="19" t="s">
        <v>18</v>
      </c>
      <c r="F3" s="19" t="s">
        <v>19</v>
      </c>
      <c r="G3" s="19" t="s">
        <v>20</v>
      </c>
      <c r="H3" s="19" t="s">
        <v>21</v>
      </c>
      <c r="I3" s="19" t="s">
        <v>22</v>
      </c>
      <c r="J3" s="14" t="s">
        <v>130</v>
      </c>
      <c r="K3" s="19"/>
      <c r="L3" s="14" t="str">
        <f t="shared" ref="L3:L66" si="0">IF(J3="Yes","Review",IF(COUNTIF($C$2:$C$67,C3)&gt;1,"Duplicate","Unique"))</f>
        <v>Unique</v>
      </c>
      <c r="M3" s="11" t="str">
        <f t="shared" ref="M3:M66" si="1">IF(OR(G3="Follow-up",H3="Call back tomorrow",H3="Interested - follow up"),"Yes","No")</f>
        <v>Yes</v>
      </c>
      <c r="O3" s="7"/>
      <c r="P3" s="7"/>
    </row>
    <row r="4" spans="1:16" x14ac:dyDescent="0.3">
      <c r="A4" s="18">
        <v>3</v>
      </c>
      <c r="B4" s="19" t="s">
        <v>9</v>
      </c>
      <c r="C4" s="19" t="s">
        <v>23</v>
      </c>
      <c r="D4" s="19" t="s">
        <v>11</v>
      </c>
      <c r="E4" s="19" t="s">
        <v>24</v>
      </c>
      <c r="F4" s="19" t="s">
        <v>13</v>
      </c>
      <c r="G4" s="19" t="s">
        <v>25</v>
      </c>
      <c r="H4" s="19" t="s">
        <v>26</v>
      </c>
      <c r="I4" s="19" t="s">
        <v>27</v>
      </c>
      <c r="J4" s="14" t="s">
        <v>130</v>
      </c>
      <c r="K4" s="19"/>
      <c r="L4" s="14" t="str">
        <f t="shared" si="0"/>
        <v>Duplicate</v>
      </c>
      <c r="M4" s="11" t="str">
        <f t="shared" si="1"/>
        <v>No</v>
      </c>
      <c r="O4" s="7"/>
      <c r="P4" s="7"/>
    </row>
    <row r="5" spans="1:16" x14ac:dyDescent="0.3">
      <c r="A5" s="18">
        <v>4</v>
      </c>
      <c r="B5" s="19" t="s">
        <v>9</v>
      </c>
      <c r="C5" s="19" t="s">
        <v>28</v>
      </c>
      <c r="D5" s="19" t="s">
        <v>11</v>
      </c>
      <c r="E5" s="19" t="s">
        <v>29</v>
      </c>
      <c r="F5" s="19" t="s">
        <v>13</v>
      </c>
      <c r="G5" s="19" t="s">
        <v>30</v>
      </c>
      <c r="H5" s="19" t="s">
        <v>31</v>
      </c>
      <c r="I5" s="19" t="s">
        <v>32</v>
      </c>
      <c r="J5" s="14" t="s">
        <v>130</v>
      </c>
      <c r="K5" s="19"/>
      <c r="L5" s="14" t="str">
        <f t="shared" si="0"/>
        <v>Duplicate</v>
      </c>
      <c r="M5" s="11" t="str">
        <f t="shared" si="1"/>
        <v>No</v>
      </c>
    </row>
    <row r="6" spans="1:16" x14ac:dyDescent="0.3">
      <c r="A6" s="18">
        <v>5</v>
      </c>
      <c r="B6" s="19" t="s">
        <v>9</v>
      </c>
      <c r="C6" s="19" t="s">
        <v>33</v>
      </c>
      <c r="D6" s="19" t="s">
        <v>11</v>
      </c>
      <c r="E6" s="19" t="s">
        <v>34</v>
      </c>
      <c r="F6" s="19" t="s">
        <v>13</v>
      </c>
      <c r="G6" s="19" t="s">
        <v>14</v>
      </c>
      <c r="H6" s="19" t="s">
        <v>35</v>
      </c>
      <c r="I6" s="19" t="s">
        <v>36</v>
      </c>
      <c r="J6" s="14" t="s">
        <v>130</v>
      </c>
      <c r="K6" s="19"/>
      <c r="L6" s="14" t="str">
        <f t="shared" si="0"/>
        <v>Duplicate</v>
      </c>
      <c r="M6" s="11" t="str">
        <f t="shared" si="1"/>
        <v>Yes</v>
      </c>
    </row>
    <row r="7" spans="1:16" x14ac:dyDescent="0.3">
      <c r="A7" s="18">
        <v>6</v>
      </c>
      <c r="B7" s="19" t="s">
        <v>9</v>
      </c>
      <c r="C7" s="19" t="s">
        <v>37</v>
      </c>
      <c r="D7" s="19" t="s">
        <v>11</v>
      </c>
      <c r="E7" s="19" t="s">
        <v>38</v>
      </c>
      <c r="F7" s="19" t="s">
        <v>19</v>
      </c>
      <c r="G7" s="19" t="s">
        <v>20</v>
      </c>
      <c r="H7" s="19" t="s">
        <v>26</v>
      </c>
      <c r="I7" s="19" t="s">
        <v>16</v>
      </c>
      <c r="J7" s="14" t="s">
        <v>130</v>
      </c>
      <c r="K7" s="19"/>
      <c r="L7" s="14" t="str">
        <f t="shared" si="0"/>
        <v>Duplicate</v>
      </c>
      <c r="M7" s="11" t="str">
        <f t="shared" si="1"/>
        <v>Yes</v>
      </c>
    </row>
    <row r="8" spans="1:16" x14ac:dyDescent="0.3">
      <c r="A8" s="18">
        <v>7</v>
      </c>
      <c r="B8" s="19" t="s">
        <v>9</v>
      </c>
      <c r="C8" s="19" t="s">
        <v>39</v>
      </c>
      <c r="D8" s="19" t="s">
        <v>11</v>
      </c>
      <c r="E8" s="19" t="s">
        <v>40</v>
      </c>
      <c r="F8" s="19" t="s">
        <v>41</v>
      </c>
      <c r="G8" s="19" t="s">
        <v>14</v>
      </c>
      <c r="H8" s="19" t="s">
        <v>26</v>
      </c>
      <c r="I8" s="19" t="s">
        <v>22</v>
      </c>
      <c r="J8" s="14" t="s">
        <v>130</v>
      </c>
      <c r="K8" s="19"/>
      <c r="L8" s="14" t="str">
        <f t="shared" si="0"/>
        <v>Duplicate</v>
      </c>
      <c r="M8" s="11" t="str">
        <f t="shared" si="1"/>
        <v>No</v>
      </c>
    </row>
    <row r="9" spans="1:16" x14ac:dyDescent="0.3">
      <c r="A9" s="18">
        <v>8</v>
      </c>
      <c r="B9" s="19" t="s">
        <v>9</v>
      </c>
      <c r="C9" s="19" t="s">
        <v>42</v>
      </c>
      <c r="D9" s="19" t="s">
        <v>11</v>
      </c>
      <c r="E9" s="19" t="s">
        <v>43</v>
      </c>
      <c r="F9" s="19" t="s">
        <v>19</v>
      </c>
      <c r="G9" s="19" t="s">
        <v>25</v>
      </c>
      <c r="H9" s="19" t="s">
        <v>26</v>
      </c>
      <c r="I9" s="19" t="s">
        <v>27</v>
      </c>
      <c r="J9" s="14" t="s">
        <v>126</v>
      </c>
      <c r="K9" s="19"/>
      <c r="L9" s="14" t="str">
        <f t="shared" si="0"/>
        <v>Unique</v>
      </c>
      <c r="M9" s="11" t="str">
        <f t="shared" si="1"/>
        <v>No</v>
      </c>
    </row>
    <row r="10" spans="1:16" x14ac:dyDescent="0.3">
      <c r="A10" s="18">
        <v>9</v>
      </c>
      <c r="B10" s="19" t="s">
        <v>9</v>
      </c>
      <c r="C10" s="19" t="s">
        <v>44</v>
      </c>
      <c r="D10" s="19" t="s">
        <v>11</v>
      </c>
      <c r="E10" s="19" t="s">
        <v>45</v>
      </c>
      <c r="F10" s="19" t="s">
        <v>46</v>
      </c>
      <c r="G10" s="19" t="s">
        <v>20</v>
      </c>
      <c r="H10" s="19" t="s">
        <v>47</v>
      </c>
      <c r="I10" s="19" t="s">
        <v>32</v>
      </c>
      <c r="J10" s="14" t="s">
        <v>125</v>
      </c>
      <c r="K10" s="19" t="s">
        <v>127</v>
      </c>
      <c r="L10" s="14" t="str">
        <f t="shared" si="0"/>
        <v>Review</v>
      </c>
      <c r="M10" s="11" t="str">
        <f t="shared" si="1"/>
        <v>Yes</v>
      </c>
    </row>
    <row r="11" spans="1:16" x14ac:dyDescent="0.3">
      <c r="A11" s="18">
        <v>10</v>
      </c>
      <c r="B11" s="19" t="s">
        <v>9</v>
      </c>
      <c r="C11" s="19" t="s">
        <v>48</v>
      </c>
      <c r="D11" s="19" t="s">
        <v>49</v>
      </c>
      <c r="E11" s="19" t="s">
        <v>50</v>
      </c>
      <c r="F11" s="19" t="s">
        <v>41</v>
      </c>
      <c r="G11" s="19" t="s">
        <v>20</v>
      </c>
      <c r="H11" s="19" t="s">
        <v>51</v>
      </c>
      <c r="I11" s="19" t="s">
        <v>36</v>
      </c>
      <c r="J11" s="14" t="s">
        <v>130</v>
      </c>
      <c r="K11" s="19"/>
      <c r="L11" s="14" t="str">
        <f t="shared" si="0"/>
        <v>Unique</v>
      </c>
      <c r="M11" s="11" t="str">
        <f t="shared" si="1"/>
        <v>Yes</v>
      </c>
    </row>
    <row r="12" spans="1:16" x14ac:dyDescent="0.3">
      <c r="A12" s="18">
        <v>11</v>
      </c>
      <c r="B12" s="19" t="s">
        <v>9</v>
      </c>
      <c r="C12" s="19" t="s">
        <v>52</v>
      </c>
      <c r="D12" s="19" t="s">
        <v>11</v>
      </c>
      <c r="E12" s="19" t="s">
        <v>12</v>
      </c>
      <c r="F12" s="19" t="s">
        <v>19</v>
      </c>
      <c r="G12" s="19" t="s">
        <v>25</v>
      </c>
      <c r="H12" s="19" t="s">
        <v>31</v>
      </c>
      <c r="I12" s="19" t="s">
        <v>16</v>
      </c>
      <c r="J12" s="14" t="s">
        <v>130</v>
      </c>
      <c r="K12" s="19"/>
      <c r="L12" s="14" t="str">
        <f t="shared" si="0"/>
        <v>Unique</v>
      </c>
      <c r="M12" s="11" t="str">
        <f t="shared" si="1"/>
        <v>No</v>
      </c>
    </row>
    <row r="13" spans="1:16" x14ac:dyDescent="0.3">
      <c r="A13" s="18">
        <v>12</v>
      </c>
      <c r="B13" s="19" t="s">
        <v>9</v>
      </c>
      <c r="C13" s="19" t="s">
        <v>53</v>
      </c>
      <c r="D13" s="19" t="s">
        <v>11</v>
      </c>
      <c r="E13" s="19" t="s">
        <v>18</v>
      </c>
      <c r="F13" s="19" t="s">
        <v>54</v>
      </c>
      <c r="G13" s="19" t="s">
        <v>20</v>
      </c>
      <c r="H13" s="19" t="s">
        <v>21</v>
      </c>
      <c r="I13" s="19" t="s">
        <v>22</v>
      </c>
      <c r="J13" s="14" t="s">
        <v>130</v>
      </c>
      <c r="K13" s="19"/>
      <c r="L13" s="14" t="str">
        <f t="shared" si="0"/>
        <v>Unique</v>
      </c>
      <c r="M13" s="11" t="str">
        <f t="shared" si="1"/>
        <v>Yes</v>
      </c>
    </row>
    <row r="14" spans="1:16" x14ac:dyDescent="0.3">
      <c r="A14" s="18">
        <v>13</v>
      </c>
      <c r="B14" s="19" t="s">
        <v>9</v>
      </c>
      <c r="C14" s="19" t="s">
        <v>55</v>
      </c>
      <c r="D14" s="19" t="s">
        <v>56</v>
      </c>
      <c r="E14" s="19" t="s">
        <v>24</v>
      </c>
      <c r="F14" s="19" t="s">
        <v>19</v>
      </c>
      <c r="G14" s="19" t="s">
        <v>14</v>
      </c>
      <c r="H14" s="19" t="s">
        <v>57</v>
      </c>
      <c r="I14" s="19" t="s">
        <v>27</v>
      </c>
      <c r="J14" s="14" t="s">
        <v>130</v>
      </c>
      <c r="K14" s="19"/>
      <c r="L14" s="14" t="str">
        <f t="shared" si="0"/>
        <v>Unique</v>
      </c>
      <c r="M14" s="11" t="str">
        <f t="shared" si="1"/>
        <v>No</v>
      </c>
    </row>
    <row r="15" spans="1:16" x14ac:dyDescent="0.3">
      <c r="A15" s="18">
        <v>14</v>
      </c>
      <c r="B15" s="19" t="s">
        <v>9</v>
      </c>
      <c r="C15" s="19" t="s">
        <v>58</v>
      </c>
      <c r="D15" s="19" t="s">
        <v>59</v>
      </c>
      <c r="E15" s="19" t="s">
        <v>29</v>
      </c>
      <c r="F15" s="19" t="s">
        <v>13</v>
      </c>
      <c r="G15" s="19" t="s">
        <v>14</v>
      </c>
      <c r="H15" s="19" t="s">
        <v>31</v>
      </c>
      <c r="I15" s="19" t="s">
        <v>32</v>
      </c>
      <c r="J15" s="14" t="s">
        <v>130</v>
      </c>
      <c r="K15" s="19"/>
      <c r="L15" s="14" t="str">
        <f t="shared" si="0"/>
        <v>Unique</v>
      </c>
      <c r="M15" s="11" t="str">
        <f t="shared" si="1"/>
        <v>No</v>
      </c>
    </row>
    <row r="16" spans="1:16" x14ac:dyDescent="0.3">
      <c r="A16" s="18">
        <v>15</v>
      </c>
      <c r="B16" s="19" t="s">
        <v>9</v>
      </c>
      <c r="C16" s="19" t="s">
        <v>60</v>
      </c>
      <c r="D16" s="19" t="s">
        <v>11</v>
      </c>
      <c r="E16" s="19" t="s">
        <v>34</v>
      </c>
      <c r="F16" s="19" t="s">
        <v>13</v>
      </c>
      <c r="G16" s="19" t="s">
        <v>20</v>
      </c>
      <c r="H16" s="19" t="s">
        <v>57</v>
      </c>
      <c r="I16" s="19" t="s">
        <v>36</v>
      </c>
      <c r="J16" s="14" t="s">
        <v>130</v>
      </c>
      <c r="K16" s="19"/>
      <c r="L16" s="14" t="str">
        <f t="shared" si="0"/>
        <v>Unique</v>
      </c>
      <c r="M16" s="11" t="str">
        <f t="shared" si="1"/>
        <v>Yes</v>
      </c>
    </row>
    <row r="17" spans="1:13" x14ac:dyDescent="0.3">
      <c r="A17" s="18">
        <v>16</v>
      </c>
      <c r="B17" s="19" t="s">
        <v>9</v>
      </c>
      <c r="C17" s="19" t="s">
        <v>61</v>
      </c>
      <c r="D17" s="19" t="s">
        <v>11</v>
      </c>
      <c r="E17" s="19" t="s">
        <v>38</v>
      </c>
      <c r="F17" s="19" t="s">
        <v>41</v>
      </c>
      <c r="G17" s="19" t="s">
        <v>20</v>
      </c>
      <c r="H17" s="19" t="s">
        <v>51</v>
      </c>
      <c r="I17" s="19" t="s">
        <v>16</v>
      </c>
      <c r="J17" s="14" t="s">
        <v>130</v>
      </c>
      <c r="K17" s="19"/>
      <c r="L17" s="14" t="str">
        <f t="shared" si="0"/>
        <v>Unique</v>
      </c>
      <c r="M17" s="11" t="str">
        <f t="shared" si="1"/>
        <v>Yes</v>
      </c>
    </row>
    <row r="18" spans="1:13" x14ac:dyDescent="0.3">
      <c r="A18" s="18">
        <v>17</v>
      </c>
      <c r="B18" s="19" t="s">
        <v>9</v>
      </c>
      <c r="C18" s="19" t="s">
        <v>62</v>
      </c>
      <c r="D18" s="19" t="s">
        <v>63</v>
      </c>
      <c r="E18" s="19" t="s">
        <v>40</v>
      </c>
      <c r="F18" s="19" t="s">
        <v>46</v>
      </c>
      <c r="G18" s="19" t="s">
        <v>30</v>
      </c>
      <c r="H18" s="19" t="s">
        <v>35</v>
      </c>
      <c r="I18" s="19" t="s">
        <v>22</v>
      </c>
      <c r="J18" s="14" t="s">
        <v>130</v>
      </c>
      <c r="K18" s="19"/>
      <c r="L18" s="14" t="str">
        <f t="shared" si="0"/>
        <v>Unique</v>
      </c>
      <c r="M18" s="11" t="str">
        <f t="shared" si="1"/>
        <v>Yes</v>
      </c>
    </row>
    <row r="19" spans="1:13" x14ac:dyDescent="0.3">
      <c r="A19" s="18">
        <v>18</v>
      </c>
      <c r="B19" s="19" t="s">
        <v>9</v>
      </c>
      <c r="C19" s="19" t="s">
        <v>64</v>
      </c>
      <c r="D19" s="19" t="s">
        <v>11</v>
      </c>
      <c r="E19" s="19" t="s">
        <v>43</v>
      </c>
      <c r="F19" s="19" t="s">
        <v>46</v>
      </c>
      <c r="G19" s="19" t="s">
        <v>14</v>
      </c>
      <c r="H19" s="19" t="s">
        <v>26</v>
      </c>
      <c r="I19" s="19" t="s">
        <v>27</v>
      </c>
      <c r="J19" s="14" t="s">
        <v>130</v>
      </c>
      <c r="K19" s="19"/>
      <c r="L19" s="14" t="str">
        <f t="shared" si="0"/>
        <v>Unique</v>
      </c>
      <c r="M19" s="11" t="str">
        <f t="shared" si="1"/>
        <v>No</v>
      </c>
    </row>
    <row r="20" spans="1:13" x14ac:dyDescent="0.3">
      <c r="A20" s="18">
        <v>19</v>
      </c>
      <c r="B20" s="19" t="s">
        <v>9</v>
      </c>
      <c r="C20" s="19" t="s">
        <v>65</v>
      </c>
      <c r="D20" s="19" t="s">
        <v>66</v>
      </c>
      <c r="E20" s="19" t="s">
        <v>45</v>
      </c>
      <c r="F20" s="19" t="s">
        <v>54</v>
      </c>
      <c r="G20" s="19" t="s">
        <v>14</v>
      </c>
      <c r="H20" s="19" t="s">
        <v>67</v>
      </c>
      <c r="I20" s="19" t="s">
        <v>32</v>
      </c>
      <c r="J20" s="14" t="s">
        <v>130</v>
      </c>
      <c r="K20" s="19"/>
      <c r="L20" s="14" t="str">
        <f t="shared" si="0"/>
        <v>Unique</v>
      </c>
      <c r="M20" s="11" t="str">
        <f t="shared" si="1"/>
        <v>No</v>
      </c>
    </row>
    <row r="21" spans="1:13" x14ac:dyDescent="0.3">
      <c r="A21" s="18">
        <v>20</v>
      </c>
      <c r="B21" s="19" t="s">
        <v>9</v>
      </c>
      <c r="C21" s="19" t="s">
        <v>68</v>
      </c>
      <c r="D21" s="19" t="s">
        <v>69</v>
      </c>
      <c r="E21" s="19" t="s">
        <v>50</v>
      </c>
      <c r="F21" s="19" t="s">
        <v>54</v>
      </c>
      <c r="G21" s="19" t="s">
        <v>30</v>
      </c>
      <c r="H21" s="19" t="s">
        <v>70</v>
      </c>
      <c r="I21" s="19" t="s">
        <v>36</v>
      </c>
      <c r="J21" s="14" t="s">
        <v>130</v>
      </c>
      <c r="K21" s="19"/>
      <c r="L21" s="14" t="str">
        <f t="shared" si="0"/>
        <v>Unique</v>
      </c>
      <c r="M21" s="11" t="str">
        <f t="shared" si="1"/>
        <v>No</v>
      </c>
    </row>
    <row r="22" spans="1:13" x14ac:dyDescent="0.3">
      <c r="A22" s="18">
        <v>21</v>
      </c>
      <c r="B22" s="19" t="s">
        <v>9</v>
      </c>
      <c r="C22" s="19" t="s">
        <v>71</v>
      </c>
      <c r="D22" s="19" t="s">
        <v>11</v>
      </c>
      <c r="E22" s="19" t="s">
        <v>12</v>
      </c>
      <c r="F22" s="19" t="s">
        <v>13</v>
      </c>
      <c r="G22" s="19" t="s">
        <v>14</v>
      </c>
      <c r="H22" s="19" t="s">
        <v>70</v>
      </c>
      <c r="I22" s="19" t="s">
        <v>16</v>
      </c>
      <c r="J22" s="14" t="s">
        <v>124</v>
      </c>
      <c r="K22" s="19" t="s">
        <v>128</v>
      </c>
      <c r="L22" s="14" t="str">
        <f t="shared" si="0"/>
        <v>Review</v>
      </c>
      <c r="M22" s="11" t="str">
        <f t="shared" si="1"/>
        <v>No</v>
      </c>
    </row>
    <row r="23" spans="1:13" x14ac:dyDescent="0.3">
      <c r="A23" s="18">
        <v>22</v>
      </c>
      <c r="B23" s="19" t="s">
        <v>9</v>
      </c>
      <c r="C23" s="19" t="s">
        <v>72</v>
      </c>
      <c r="D23" s="19" t="s">
        <v>11</v>
      </c>
      <c r="E23" s="19" t="s">
        <v>18</v>
      </c>
      <c r="F23" s="19" t="s">
        <v>54</v>
      </c>
      <c r="G23" s="19" t="s">
        <v>14</v>
      </c>
      <c r="H23" s="19" t="s">
        <v>70</v>
      </c>
      <c r="I23" s="19" t="s">
        <v>22</v>
      </c>
      <c r="J23" s="14" t="s">
        <v>130</v>
      </c>
      <c r="K23" s="19"/>
      <c r="L23" s="14" t="str">
        <f t="shared" si="0"/>
        <v>Unique</v>
      </c>
      <c r="M23" s="11" t="str">
        <f t="shared" si="1"/>
        <v>No</v>
      </c>
    </row>
    <row r="24" spans="1:13" x14ac:dyDescent="0.3">
      <c r="A24" s="18">
        <v>23</v>
      </c>
      <c r="B24" s="19" t="s">
        <v>9</v>
      </c>
      <c r="C24" s="19" t="s">
        <v>73</v>
      </c>
      <c r="D24" s="19" t="s">
        <v>74</v>
      </c>
      <c r="E24" s="19" t="s">
        <v>24</v>
      </c>
      <c r="F24" s="19" t="s">
        <v>13</v>
      </c>
      <c r="G24" s="19" t="s">
        <v>75</v>
      </c>
      <c r="H24" s="19" t="s">
        <v>15</v>
      </c>
      <c r="I24" s="19" t="s">
        <v>27</v>
      </c>
      <c r="J24" s="14" t="s">
        <v>130</v>
      </c>
      <c r="K24" s="19"/>
      <c r="L24" s="14" t="str">
        <f t="shared" si="0"/>
        <v>Unique</v>
      </c>
      <c r="M24" s="11" t="str">
        <f t="shared" si="1"/>
        <v>No</v>
      </c>
    </row>
    <row r="25" spans="1:13" x14ac:dyDescent="0.3">
      <c r="A25" s="18">
        <v>24</v>
      </c>
      <c r="B25" s="19" t="s">
        <v>9</v>
      </c>
      <c r="C25" s="19" t="s">
        <v>76</v>
      </c>
      <c r="D25" s="19" t="s">
        <v>11</v>
      </c>
      <c r="E25" s="19" t="s">
        <v>29</v>
      </c>
      <c r="F25" s="19" t="s">
        <v>46</v>
      </c>
      <c r="G25" s="19" t="s">
        <v>25</v>
      </c>
      <c r="H25" s="19" t="s">
        <v>57</v>
      </c>
      <c r="I25" s="19" t="s">
        <v>32</v>
      </c>
      <c r="J25" s="14" t="s">
        <v>130</v>
      </c>
      <c r="K25" s="19"/>
      <c r="L25" s="14" t="str">
        <f t="shared" si="0"/>
        <v>Duplicate</v>
      </c>
      <c r="M25" s="11" t="str">
        <f t="shared" si="1"/>
        <v>No</v>
      </c>
    </row>
    <row r="26" spans="1:13" x14ac:dyDescent="0.3">
      <c r="A26" s="18">
        <v>25</v>
      </c>
      <c r="B26" s="19" t="s">
        <v>9</v>
      </c>
      <c r="C26" s="19" t="s">
        <v>77</v>
      </c>
      <c r="D26" s="19" t="s">
        <v>11</v>
      </c>
      <c r="E26" s="19" t="s">
        <v>34</v>
      </c>
      <c r="F26" s="19" t="s">
        <v>19</v>
      </c>
      <c r="G26" s="19" t="s">
        <v>20</v>
      </c>
      <c r="H26" s="19" t="s">
        <v>57</v>
      </c>
      <c r="I26" s="19" t="s">
        <v>36</v>
      </c>
      <c r="J26" s="14" t="s">
        <v>130</v>
      </c>
      <c r="K26" s="19"/>
      <c r="L26" s="14" t="str">
        <f t="shared" si="0"/>
        <v>Unique</v>
      </c>
      <c r="M26" s="11" t="str">
        <f t="shared" si="1"/>
        <v>Yes</v>
      </c>
    </row>
    <row r="27" spans="1:13" x14ac:dyDescent="0.3">
      <c r="A27" s="18">
        <v>26</v>
      </c>
      <c r="B27" s="19" t="s">
        <v>9</v>
      </c>
      <c r="C27" s="19" t="s">
        <v>78</v>
      </c>
      <c r="D27" s="19" t="s">
        <v>11</v>
      </c>
      <c r="E27" s="19" t="s">
        <v>38</v>
      </c>
      <c r="F27" s="19" t="s">
        <v>19</v>
      </c>
      <c r="G27" s="19" t="s">
        <v>25</v>
      </c>
      <c r="H27" s="19" t="s">
        <v>15</v>
      </c>
      <c r="I27" s="19" t="s">
        <v>16</v>
      </c>
      <c r="J27" s="14" t="s">
        <v>130</v>
      </c>
      <c r="K27" s="19"/>
      <c r="L27" s="14" t="str">
        <f t="shared" si="0"/>
        <v>Unique</v>
      </c>
      <c r="M27" s="11" t="str">
        <f t="shared" si="1"/>
        <v>No</v>
      </c>
    </row>
    <row r="28" spans="1:13" x14ac:dyDescent="0.3">
      <c r="A28" s="18">
        <v>27</v>
      </c>
      <c r="B28" s="19" t="s">
        <v>9</v>
      </c>
      <c r="C28" s="19" t="s">
        <v>10</v>
      </c>
      <c r="D28" s="19" t="s">
        <v>11</v>
      </c>
      <c r="E28" s="19" t="s">
        <v>40</v>
      </c>
      <c r="F28" s="19" t="s">
        <v>13</v>
      </c>
      <c r="G28" s="19" t="s">
        <v>30</v>
      </c>
      <c r="H28" s="19" t="s">
        <v>21</v>
      </c>
      <c r="I28" s="19" t="s">
        <v>22</v>
      </c>
      <c r="J28" s="14" t="s">
        <v>130</v>
      </c>
      <c r="K28" s="19"/>
      <c r="L28" s="14" t="str">
        <f t="shared" si="0"/>
        <v>Duplicate</v>
      </c>
      <c r="M28" s="11" t="str">
        <f t="shared" si="1"/>
        <v>No</v>
      </c>
    </row>
    <row r="29" spans="1:13" x14ac:dyDescent="0.3">
      <c r="A29" s="18">
        <v>28</v>
      </c>
      <c r="B29" s="19" t="s">
        <v>9</v>
      </c>
      <c r="C29" s="19" t="s">
        <v>23</v>
      </c>
      <c r="D29" s="19" t="s">
        <v>11</v>
      </c>
      <c r="E29" s="19" t="s">
        <v>43</v>
      </c>
      <c r="F29" s="19" t="s">
        <v>41</v>
      </c>
      <c r="G29" s="19" t="s">
        <v>25</v>
      </c>
      <c r="H29" s="19" t="s">
        <v>70</v>
      </c>
      <c r="I29" s="19" t="s">
        <v>27</v>
      </c>
      <c r="J29" s="14" t="s">
        <v>130</v>
      </c>
      <c r="K29" s="19"/>
      <c r="L29" s="14" t="str">
        <f t="shared" si="0"/>
        <v>Duplicate</v>
      </c>
      <c r="M29" s="11" t="str">
        <f t="shared" si="1"/>
        <v>No</v>
      </c>
    </row>
    <row r="30" spans="1:13" x14ac:dyDescent="0.3">
      <c r="A30" s="18">
        <v>29</v>
      </c>
      <c r="B30" s="19" t="s">
        <v>9</v>
      </c>
      <c r="C30" s="19" t="s">
        <v>28</v>
      </c>
      <c r="D30" s="19" t="s">
        <v>11</v>
      </c>
      <c r="E30" s="19" t="s">
        <v>45</v>
      </c>
      <c r="F30" s="19" t="s">
        <v>19</v>
      </c>
      <c r="G30" s="19" t="s">
        <v>75</v>
      </c>
      <c r="H30" s="19" t="s">
        <v>31</v>
      </c>
      <c r="I30" s="19" t="s">
        <v>32</v>
      </c>
      <c r="J30" s="14" t="s">
        <v>130</v>
      </c>
      <c r="K30" s="19"/>
      <c r="L30" s="14" t="str">
        <f t="shared" si="0"/>
        <v>Duplicate</v>
      </c>
      <c r="M30" s="11" t="str">
        <f t="shared" si="1"/>
        <v>No</v>
      </c>
    </row>
    <row r="31" spans="1:13" x14ac:dyDescent="0.3">
      <c r="A31" s="18">
        <v>30</v>
      </c>
      <c r="B31" s="19" t="s">
        <v>9</v>
      </c>
      <c r="C31" s="19" t="s">
        <v>33</v>
      </c>
      <c r="D31" s="19" t="s">
        <v>11</v>
      </c>
      <c r="E31" s="19" t="s">
        <v>50</v>
      </c>
      <c r="F31" s="19" t="s">
        <v>54</v>
      </c>
      <c r="G31" s="19" t="s">
        <v>25</v>
      </c>
      <c r="H31" s="19" t="s">
        <v>26</v>
      </c>
      <c r="I31" s="19" t="s">
        <v>36</v>
      </c>
      <c r="J31" s="14" t="s">
        <v>130</v>
      </c>
      <c r="K31" s="19"/>
      <c r="L31" s="14" t="str">
        <f t="shared" si="0"/>
        <v>Duplicate</v>
      </c>
      <c r="M31" s="11" t="str">
        <f t="shared" si="1"/>
        <v>No</v>
      </c>
    </row>
    <row r="32" spans="1:13" x14ac:dyDescent="0.3">
      <c r="A32" s="18">
        <v>31</v>
      </c>
      <c r="B32" s="19" t="s">
        <v>9</v>
      </c>
      <c r="C32" s="19" t="s">
        <v>37</v>
      </c>
      <c r="D32" s="19" t="s">
        <v>11</v>
      </c>
      <c r="E32" s="19" t="s">
        <v>12</v>
      </c>
      <c r="F32" s="19" t="s">
        <v>19</v>
      </c>
      <c r="G32" s="19" t="s">
        <v>25</v>
      </c>
      <c r="H32" s="19" t="s">
        <v>57</v>
      </c>
      <c r="I32" s="19" t="s">
        <v>16</v>
      </c>
      <c r="J32" s="14" t="s">
        <v>130</v>
      </c>
      <c r="K32" s="19"/>
      <c r="L32" s="14" t="str">
        <f t="shared" si="0"/>
        <v>Duplicate</v>
      </c>
      <c r="M32" s="11" t="str">
        <f t="shared" si="1"/>
        <v>No</v>
      </c>
    </row>
    <row r="33" spans="1:13" x14ac:dyDescent="0.3">
      <c r="A33" s="18">
        <v>32</v>
      </c>
      <c r="B33" s="19" t="s">
        <v>9</v>
      </c>
      <c r="C33" s="19" t="s">
        <v>39</v>
      </c>
      <c r="D33" s="19" t="s">
        <v>11</v>
      </c>
      <c r="E33" s="19" t="s">
        <v>18</v>
      </c>
      <c r="F33" s="19" t="s">
        <v>13</v>
      </c>
      <c r="G33" s="19" t="s">
        <v>20</v>
      </c>
      <c r="H33" s="19" t="s">
        <v>51</v>
      </c>
      <c r="I33" s="19" t="s">
        <v>22</v>
      </c>
      <c r="J33" s="14" t="s">
        <v>130</v>
      </c>
      <c r="K33" s="19"/>
      <c r="L33" s="14" t="str">
        <f t="shared" si="0"/>
        <v>Duplicate</v>
      </c>
      <c r="M33" s="11" t="str">
        <f t="shared" si="1"/>
        <v>Yes</v>
      </c>
    </row>
    <row r="34" spans="1:13" x14ac:dyDescent="0.3">
      <c r="A34" s="18">
        <v>33</v>
      </c>
      <c r="B34" s="19" t="s">
        <v>9</v>
      </c>
      <c r="C34" s="19" t="s">
        <v>79</v>
      </c>
      <c r="D34" s="19" t="s">
        <v>11</v>
      </c>
      <c r="E34" s="19" t="s">
        <v>24</v>
      </c>
      <c r="F34" s="19" t="s">
        <v>54</v>
      </c>
      <c r="G34" s="19" t="s">
        <v>75</v>
      </c>
      <c r="H34" s="19" t="s">
        <v>15</v>
      </c>
      <c r="I34" s="19" t="s">
        <v>27</v>
      </c>
      <c r="J34" s="14" t="s">
        <v>124</v>
      </c>
      <c r="K34" s="19" t="s">
        <v>129</v>
      </c>
      <c r="L34" s="14" t="str">
        <f t="shared" si="0"/>
        <v>Review</v>
      </c>
      <c r="M34" s="11" t="str">
        <f t="shared" si="1"/>
        <v>No</v>
      </c>
    </row>
    <row r="35" spans="1:13" x14ac:dyDescent="0.3">
      <c r="A35" s="18">
        <v>34</v>
      </c>
      <c r="B35" s="19" t="s">
        <v>9</v>
      </c>
      <c r="C35" s="19" t="s">
        <v>80</v>
      </c>
      <c r="D35" s="19" t="s">
        <v>11</v>
      </c>
      <c r="E35" s="19" t="s">
        <v>29</v>
      </c>
      <c r="F35" s="19" t="s">
        <v>13</v>
      </c>
      <c r="G35" s="19" t="s">
        <v>20</v>
      </c>
      <c r="H35" s="19" t="s">
        <v>67</v>
      </c>
      <c r="I35" s="19" t="s">
        <v>32</v>
      </c>
      <c r="J35" s="14" t="s">
        <v>124</v>
      </c>
      <c r="K35" s="19" t="s">
        <v>127</v>
      </c>
      <c r="L35" s="14" t="str">
        <f t="shared" si="0"/>
        <v>Review</v>
      </c>
      <c r="M35" s="11" t="str">
        <f t="shared" si="1"/>
        <v>Yes</v>
      </c>
    </row>
    <row r="36" spans="1:13" x14ac:dyDescent="0.3">
      <c r="A36" s="18">
        <v>35</v>
      </c>
      <c r="B36" s="19" t="s">
        <v>9</v>
      </c>
      <c r="C36" s="19" t="s">
        <v>76</v>
      </c>
      <c r="D36" s="19" t="s">
        <v>11</v>
      </c>
      <c r="E36" s="19" t="s">
        <v>34</v>
      </c>
      <c r="F36" s="19" t="s">
        <v>54</v>
      </c>
      <c r="G36" s="19" t="s">
        <v>20</v>
      </c>
      <c r="H36" s="19" t="s">
        <v>47</v>
      </c>
      <c r="I36" s="19" t="s">
        <v>36</v>
      </c>
      <c r="J36" s="14" t="s">
        <v>130</v>
      </c>
      <c r="K36" s="19"/>
      <c r="L36" s="14" t="str">
        <f t="shared" si="0"/>
        <v>Duplicate</v>
      </c>
      <c r="M36" s="11" t="str">
        <f t="shared" si="1"/>
        <v>Yes</v>
      </c>
    </row>
    <row r="37" spans="1:13" x14ac:dyDescent="0.3">
      <c r="A37" s="18">
        <v>36</v>
      </c>
      <c r="B37" s="19" t="s">
        <v>81</v>
      </c>
      <c r="C37" s="19" t="s">
        <v>82</v>
      </c>
      <c r="D37" s="19" t="s">
        <v>83</v>
      </c>
      <c r="E37" s="19" t="s">
        <v>38</v>
      </c>
      <c r="F37" s="19" t="s">
        <v>46</v>
      </c>
      <c r="G37" s="19" t="s">
        <v>25</v>
      </c>
      <c r="H37" s="19" t="s">
        <v>47</v>
      </c>
      <c r="I37" s="19" t="s">
        <v>16</v>
      </c>
      <c r="J37" s="14" t="s">
        <v>130</v>
      </c>
      <c r="K37" s="19"/>
      <c r="L37" s="14" t="str">
        <f t="shared" si="0"/>
        <v>Unique</v>
      </c>
      <c r="M37" s="11" t="str">
        <f t="shared" si="1"/>
        <v>Yes</v>
      </c>
    </row>
    <row r="38" spans="1:13" x14ac:dyDescent="0.3">
      <c r="A38" s="18">
        <v>37</v>
      </c>
      <c r="B38" s="19" t="s">
        <v>81</v>
      </c>
      <c r="C38" s="19" t="s">
        <v>84</v>
      </c>
      <c r="D38" s="19" t="s">
        <v>81</v>
      </c>
      <c r="E38" s="19" t="s">
        <v>40</v>
      </c>
      <c r="F38" s="19" t="s">
        <v>19</v>
      </c>
      <c r="G38" s="19" t="s">
        <v>20</v>
      </c>
      <c r="H38" s="19" t="s">
        <v>21</v>
      </c>
      <c r="I38" s="19" t="s">
        <v>22</v>
      </c>
      <c r="J38" s="14" t="s">
        <v>130</v>
      </c>
      <c r="K38" s="19"/>
      <c r="L38" s="14" t="str">
        <f t="shared" si="0"/>
        <v>Unique</v>
      </c>
      <c r="M38" s="11" t="str">
        <f t="shared" si="1"/>
        <v>Yes</v>
      </c>
    </row>
    <row r="39" spans="1:13" x14ac:dyDescent="0.3">
      <c r="A39" s="18">
        <v>38</v>
      </c>
      <c r="B39" s="19" t="s">
        <v>81</v>
      </c>
      <c r="C39" s="19" t="s">
        <v>85</v>
      </c>
      <c r="D39" s="19" t="s">
        <v>81</v>
      </c>
      <c r="E39" s="19" t="s">
        <v>43</v>
      </c>
      <c r="F39" s="19" t="s">
        <v>19</v>
      </c>
      <c r="G39" s="19" t="s">
        <v>25</v>
      </c>
      <c r="H39" s="19" t="s">
        <v>26</v>
      </c>
      <c r="I39" s="19" t="s">
        <v>27</v>
      </c>
      <c r="J39" s="14" t="s">
        <v>130</v>
      </c>
      <c r="K39" s="19"/>
      <c r="L39" s="14" t="str">
        <f t="shared" si="0"/>
        <v>Duplicate</v>
      </c>
      <c r="M39" s="11" t="str">
        <f t="shared" si="1"/>
        <v>No</v>
      </c>
    </row>
    <row r="40" spans="1:13" x14ac:dyDescent="0.3">
      <c r="A40" s="18">
        <v>39</v>
      </c>
      <c r="B40" s="19" t="s">
        <v>81</v>
      </c>
      <c r="C40" s="19" t="s">
        <v>86</v>
      </c>
      <c r="D40" s="19" t="s">
        <v>81</v>
      </c>
      <c r="E40" s="19" t="s">
        <v>45</v>
      </c>
      <c r="F40" s="19" t="s">
        <v>41</v>
      </c>
      <c r="G40" s="19" t="s">
        <v>20</v>
      </c>
      <c r="H40" s="19" t="s">
        <v>67</v>
      </c>
      <c r="I40" s="19" t="s">
        <v>32</v>
      </c>
      <c r="J40" s="14" t="s">
        <v>130</v>
      </c>
      <c r="K40" s="19"/>
      <c r="L40" s="14" t="str">
        <f t="shared" si="0"/>
        <v>Unique</v>
      </c>
      <c r="M40" s="11" t="str">
        <f t="shared" si="1"/>
        <v>Yes</v>
      </c>
    </row>
    <row r="41" spans="1:13" x14ac:dyDescent="0.3">
      <c r="A41" s="18">
        <v>40</v>
      </c>
      <c r="B41" s="19" t="s">
        <v>81</v>
      </c>
      <c r="C41" s="19" t="s">
        <v>85</v>
      </c>
      <c r="D41" s="19" t="s">
        <v>81</v>
      </c>
      <c r="E41" s="19" t="s">
        <v>50</v>
      </c>
      <c r="F41" s="19" t="s">
        <v>46</v>
      </c>
      <c r="G41" s="19" t="s">
        <v>30</v>
      </c>
      <c r="H41" s="19" t="s">
        <v>31</v>
      </c>
      <c r="I41" s="19" t="s">
        <v>36</v>
      </c>
      <c r="J41" s="14" t="s">
        <v>130</v>
      </c>
      <c r="K41" s="19"/>
      <c r="L41" s="14" t="str">
        <f t="shared" si="0"/>
        <v>Duplicate</v>
      </c>
      <c r="M41" s="11" t="str">
        <f t="shared" si="1"/>
        <v>No</v>
      </c>
    </row>
    <row r="42" spans="1:13" x14ac:dyDescent="0.3">
      <c r="A42" s="18">
        <v>41</v>
      </c>
      <c r="B42" s="19" t="s">
        <v>87</v>
      </c>
      <c r="C42" s="19" t="s">
        <v>88</v>
      </c>
      <c r="D42" s="19" t="s">
        <v>89</v>
      </c>
      <c r="E42" s="19" t="s">
        <v>12</v>
      </c>
      <c r="F42" s="19" t="s">
        <v>54</v>
      </c>
      <c r="G42" s="19" t="s">
        <v>20</v>
      </c>
      <c r="H42" s="19" t="s">
        <v>21</v>
      </c>
      <c r="I42" s="19" t="s">
        <v>16</v>
      </c>
      <c r="J42" s="14" t="s">
        <v>130</v>
      </c>
      <c r="K42" s="19"/>
      <c r="L42" s="14" t="str">
        <f t="shared" si="0"/>
        <v>Unique</v>
      </c>
      <c r="M42" s="11" t="str">
        <f t="shared" si="1"/>
        <v>Yes</v>
      </c>
    </row>
    <row r="43" spans="1:13" x14ac:dyDescent="0.3">
      <c r="A43" s="18">
        <v>42</v>
      </c>
      <c r="B43" s="19" t="s">
        <v>87</v>
      </c>
      <c r="C43" s="19" t="s">
        <v>90</v>
      </c>
      <c r="D43" s="19" t="s">
        <v>91</v>
      </c>
      <c r="E43" s="19" t="s">
        <v>18</v>
      </c>
      <c r="F43" s="19" t="s">
        <v>41</v>
      </c>
      <c r="G43" s="19" t="s">
        <v>75</v>
      </c>
      <c r="H43" s="19" t="s">
        <v>35</v>
      </c>
      <c r="I43" s="19" t="s">
        <v>22</v>
      </c>
      <c r="J43" s="14" t="s">
        <v>130</v>
      </c>
      <c r="K43" s="19"/>
      <c r="L43" s="14" t="str">
        <f t="shared" si="0"/>
        <v>Unique</v>
      </c>
      <c r="M43" s="11" t="str">
        <f t="shared" si="1"/>
        <v>Yes</v>
      </c>
    </row>
    <row r="44" spans="1:13" x14ac:dyDescent="0.3">
      <c r="A44" s="18">
        <v>43</v>
      </c>
      <c r="B44" s="19" t="s">
        <v>87</v>
      </c>
      <c r="C44" s="19" t="s">
        <v>92</v>
      </c>
      <c r="D44" s="19" t="s">
        <v>93</v>
      </c>
      <c r="E44" s="19" t="s">
        <v>24</v>
      </c>
      <c r="F44" s="19" t="s">
        <v>13</v>
      </c>
      <c r="G44" s="19" t="s">
        <v>14</v>
      </c>
      <c r="H44" s="19" t="s">
        <v>35</v>
      </c>
      <c r="I44" s="19" t="s">
        <v>27</v>
      </c>
      <c r="J44" s="14" t="s">
        <v>130</v>
      </c>
      <c r="K44" s="19"/>
      <c r="L44" s="14" t="str">
        <f t="shared" si="0"/>
        <v>Duplicate</v>
      </c>
      <c r="M44" s="11" t="str">
        <f t="shared" si="1"/>
        <v>Yes</v>
      </c>
    </row>
    <row r="45" spans="1:13" x14ac:dyDescent="0.3">
      <c r="A45" s="18">
        <v>44</v>
      </c>
      <c r="B45" s="19" t="s">
        <v>87</v>
      </c>
      <c r="C45" s="19" t="s">
        <v>94</v>
      </c>
      <c r="D45" s="19" t="s">
        <v>89</v>
      </c>
      <c r="E45" s="19" t="s">
        <v>29</v>
      </c>
      <c r="F45" s="19" t="s">
        <v>19</v>
      </c>
      <c r="G45" s="19" t="s">
        <v>25</v>
      </c>
      <c r="H45" s="19" t="s">
        <v>21</v>
      </c>
      <c r="I45" s="19" t="s">
        <v>32</v>
      </c>
      <c r="J45" s="14" t="s">
        <v>130</v>
      </c>
      <c r="K45" s="19"/>
      <c r="L45" s="14" t="str">
        <f t="shared" si="0"/>
        <v>Duplicate</v>
      </c>
      <c r="M45" s="11" t="str">
        <f t="shared" si="1"/>
        <v>No</v>
      </c>
    </row>
    <row r="46" spans="1:13" x14ac:dyDescent="0.3">
      <c r="A46" s="18">
        <v>45</v>
      </c>
      <c r="B46" s="19" t="s">
        <v>87</v>
      </c>
      <c r="C46" s="19" t="s">
        <v>95</v>
      </c>
      <c r="D46" s="19" t="s">
        <v>96</v>
      </c>
      <c r="E46" s="19" t="s">
        <v>34</v>
      </c>
      <c r="F46" s="19" t="s">
        <v>46</v>
      </c>
      <c r="G46" s="19" t="s">
        <v>30</v>
      </c>
      <c r="H46" s="19" t="s">
        <v>35</v>
      </c>
      <c r="I46" s="19" t="s">
        <v>36</v>
      </c>
      <c r="J46" s="14" t="s">
        <v>130</v>
      </c>
      <c r="K46" s="19"/>
      <c r="L46" s="14" t="str">
        <f t="shared" si="0"/>
        <v>Duplicate</v>
      </c>
      <c r="M46" s="11" t="str">
        <f t="shared" si="1"/>
        <v>Yes</v>
      </c>
    </row>
    <row r="47" spans="1:13" x14ac:dyDescent="0.3">
      <c r="A47" s="18">
        <v>46</v>
      </c>
      <c r="B47" s="19" t="s">
        <v>87</v>
      </c>
      <c r="C47" s="19" t="s">
        <v>92</v>
      </c>
      <c r="D47" s="19" t="s">
        <v>93</v>
      </c>
      <c r="E47" s="19" t="s">
        <v>38</v>
      </c>
      <c r="F47" s="19" t="s">
        <v>46</v>
      </c>
      <c r="G47" s="19" t="s">
        <v>75</v>
      </c>
      <c r="H47" s="19" t="s">
        <v>67</v>
      </c>
      <c r="I47" s="19" t="s">
        <v>16</v>
      </c>
      <c r="J47" s="14" t="s">
        <v>130</v>
      </c>
      <c r="K47" s="19"/>
      <c r="L47" s="14" t="str">
        <f t="shared" si="0"/>
        <v>Duplicate</v>
      </c>
      <c r="M47" s="11" t="str">
        <f t="shared" si="1"/>
        <v>No</v>
      </c>
    </row>
    <row r="48" spans="1:13" x14ac:dyDescent="0.3">
      <c r="A48" s="18">
        <v>47</v>
      </c>
      <c r="B48" s="19" t="s">
        <v>87</v>
      </c>
      <c r="C48" s="19" t="s">
        <v>94</v>
      </c>
      <c r="D48" s="19" t="s">
        <v>89</v>
      </c>
      <c r="E48" s="19" t="s">
        <v>40</v>
      </c>
      <c r="F48" s="19" t="s">
        <v>46</v>
      </c>
      <c r="G48" s="19" t="s">
        <v>30</v>
      </c>
      <c r="H48" s="19" t="s">
        <v>15</v>
      </c>
      <c r="I48" s="19" t="s">
        <v>22</v>
      </c>
      <c r="J48" s="14" t="s">
        <v>130</v>
      </c>
      <c r="K48" s="19"/>
      <c r="L48" s="14" t="str">
        <f t="shared" si="0"/>
        <v>Duplicate</v>
      </c>
      <c r="M48" s="11" t="str">
        <f t="shared" si="1"/>
        <v>No</v>
      </c>
    </row>
    <row r="49" spans="1:13" x14ac:dyDescent="0.3">
      <c r="A49" s="18">
        <v>48</v>
      </c>
      <c r="B49" s="19" t="s">
        <v>97</v>
      </c>
      <c r="C49" s="19" t="s">
        <v>98</v>
      </c>
      <c r="D49" s="19" t="s">
        <v>11</v>
      </c>
      <c r="E49" s="19" t="s">
        <v>43</v>
      </c>
      <c r="F49" s="19" t="s">
        <v>41</v>
      </c>
      <c r="G49" s="19" t="s">
        <v>14</v>
      </c>
      <c r="H49" s="19" t="s">
        <v>51</v>
      </c>
      <c r="I49" s="19" t="s">
        <v>27</v>
      </c>
      <c r="J49" s="14" t="s">
        <v>130</v>
      </c>
      <c r="K49" s="19"/>
      <c r="L49" s="14" t="str">
        <f t="shared" si="0"/>
        <v>Duplicate</v>
      </c>
      <c r="M49" s="11" t="str">
        <f t="shared" si="1"/>
        <v>No</v>
      </c>
    </row>
    <row r="50" spans="1:13" x14ac:dyDescent="0.3">
      <c r="A50" s="18">
        <v>49</v>
      </c>
      <c r="B50" s="19" t="s">
        <v>97</v>
      </c>
      <c r="C50" s="19" t="s">
        <v>99</v>
      </c>
      <c r="D50" s="19" t="s">
        <v>100</v>
      </c>
      <c r="E50" s="19" t="s">
        <v>45</v>
      </c>
      <c r="F50" s="19" t="s">
        <v>13</v>
      </c>
      <c r="G50" s="19" t="s">
        <v>25</v>
      </c>
      <c r="H50" s="19" t="s">
        <v>26</v>
      </c>
      <c r="I50" s="19" t="s">
        <v>32</v>
      </c>
      <c r="J50" s="14" t="s">
        <v>130</v>
      </c>
      <c r="K50" s="19"/>
      <c r="L50" s="14" t="str">
        <f t="shared" si="0"/>
        <v>Unique</v>
      </c>
      <c r="M50" s="11" t="str">
        <f t="shared" si="1"/>
        <v>No</v>
      </c>
    </row>
    <row r="51" spans="1:13" x14ac:dyDescent="0.3">
      <c r="A51" s="18">
        <v>50</v>
      </c>
      <c r="B51" s="19" t="s">
        <v>97</v>
      </c>
      <c r="C51" s="19" t="s">
        <v>101</v>
      </c>
      <c r="D51" s="19" t="s">
        <v>100</v>
      </c>
      <c r="E51" s="19" t="s">
        <v>50</v>
      </c>
      <c r="F51" s="19" t="s">
        <v>54</v>
      </c>
      <c r="G51" s="19" t="s">
        <v>14</v>
      </c>
      <c r="H51" s="19" t="s">
        <v>57</v>
      </c>
      <c r="I51" s="19" t="s">
        <v>36</v>
      </c>
      <c r="J51" s="14" t="s">
        <v>130</v>
      </c>
      <c r="K51" s="19"/>
      <c r="L51" s="14" t="str">
        <f t="shared" si="0"/>
        <v>Unique</v>
      </c>
      <c r="M51" s="11" t="str">
        <f t="shared" si="1"/>
        <v>No</v>
      </c>
    </row>
    <row r="52" spans="1:13" x14ac:dyDescent="0.3">
      <c r="A52" s="18">
        <v>51</v>
      </c>
      <c r="B52" s="19" t="s">
        <v>97</v>
      </c>
      <c r="C52" s="19" t="s">
        <v>102</v>
      </c>
      <c r="D52" s="19" t="s">
        <v>100</v>
      </c>
      <c r="E52" s="19" t="s">
        <v>12</v>
      </c>
      <c r="F52" s="19" t="s">
        <v>13</v>
      </c>
      <c r="G52" s="19" t="s">
        <v>20</v>
      </c>
      <c r="H52" s="19" t="s">
        <v>31</v>
      </c>
      <c r="I52" s="19" t="s">
        <v>16</v>
      </c>
      <c r="J52" s="14" t="s">
        <v>130</v>
      </c>
      <c r="K52" s="19"/>
      <c r="L52" s="14" t="str">
        <f t="shared" si="0"/>
        <v>Duplicate</v>
      </c>
      <c r="M52" s="11" t="str">
        <f t="shared" si="1"/>
        <v>Yes</v>
      </c>
    </row>
    <row r="53" spans="1:13" x14ac:dyDescent="0.3">
      <c r="A53" s="18">
        <v>52</v>
      </c>
      <c r="B53" s="19" t="s">
        <v>97</v>
      </c>
      <c r="C53" s="19" t="s">
        <v>98</v>
      </c>
      <c r="D53" s="19" t="s">
        <v>100</v>
      </c>
      <c r="E53" s="19" t="s">
        <v>18</v>
      </c>
      <c r="F53" s="19" t="s">
        <v>19</v>
      </c>
      <c r="G53" s="19" t="s">
        <v>75</v>
      </c>
      <c r="H53" s="19" t="s">
        <v>51</v>
      </c>
      <c r="I53" s="19" t="s">
        <v>22</v>
      </c>
      <c r="J53" s="14" t="s">
        <v>130</v>
      </c>
      <c r="K53" s="19"/>
      <c r="L53" s="14" t="str">
        <f t="shared" si="0"/>
        <v>Duplicate</v>
      </c>
      <c r="M53" s="11" t="str">
        <f t="shared" si="1"/>
        <v>No</v>
      </c>
    </row>
    <row r="54" spans="1:13" x14ac:dyDescent="0.3">
      <c r="A54" s="18">
        <v>53</v>
      </c>
      <c r="B54" s="19" t="s">
        <v>97</v>
      </c>
      <c r="C54" s="19" t="s">
        <v>103</v>
      </c>
      <c r="D54" s="19" t="s">
        <v>100</v>
      </c>
      <c r="E54" s="19" t="s">
        <v>24</v>
      </c>
      <c r="F54" s="19" t="s">
        <v>54</v>
      </c>
      <c r="G54" s="19" t="s">
        <v>30</v>
      </c>
      <c r="H54" s="19" t="s">
        <v>21</v>
      </c>
      <c r="I54" s="19" t="s">
        <v>27</v>
      </c>
      <c r="J54" s="14" t="s">
        <v>130</v>
      </c>
      <c r="K54" s="19"/>
      <c r="L54" s="14" t="str">
        <f t="shared" si="0"/>
        <v>Duplicate</v>
      </c>
      <c r="M54" s="11" t="str">
        <f t="shared" si="1"/>
        <v>No</v>
      </c>
    </row>
    <row r="55" spans="1:13" x14ac:dyDescent="0.3">
      <c r="A55" s="18">
        <v>54</v>
      </c>
      <c r="B55" s="19" t="s">
        <v>97</v>
      </c>
      <c r="C55" s="19" t="s">
        <v>102</v>
      </c>
      <c r="D55" s="19" t="s">
        <v>100</v>
      </c>
      <c r="E55" s="19" t="s">
        <v>29</v>
      </c>
      <c r="F55" s="19" t="s">
        <v>41</v>
      </c>
      <c r="G55" s="19" t="s">
        <v>14</v>
      </c>
      <c r="H55" s="19" t="s">
        <v>15</v>
      </c>
      <c r="I55" s="19" t="s">
        <v>32</v>
      </c>
      <c r="J55" s="14" t="s">
        <v>130</v>
      </c>
      <c r="K55" s="19"/>
      <c r="L55" s="14" t="str">
        <f t="shared" si="0"/>
        <v>Duplicate</v>
      </c>
      <c r="M55" s="11" t="str">
        <f t="shared" si="1"/>
        <v>No</v>
      </c>
    </row>
    <row r="56" spans="1:13" x14ac:dyDescent="0.3">
      <c r="A56" s="18">
        <v>55</v>
      </c>
      <c r="B56" s="19" t="s">
        <v>104</v>
      </c>
      <c r="C56" s="19" t="s">
        <v>105</v>
      </c>
      <c r="D56" s="19" t="s">
        <v>106</v>
      </c>
      <c r="E56" s="19" t="s">
        <v>34</v>
      </c>
      <c r="F56" s="19" t="s">
        <v>41</v>
      </c>
      <c r="G56" s="19" t="s">
        <v>30</v>
      </c>
      <c r="H56" s="19" t="s">
        <v>70</v>
      </c>
      <c r="I56" s="19" t="s">
        <v>36</v>
      </c>
      <c r="J56" s="14" t="s">
        <v>130</v>
      </c>
      <c r="K56" s="19"/>
      <c r="L56" s="14" t="str">
        <f t="shared" si="0"/>
        <v>Unique</v>
      </c>
      <c r="M56" s="11" t="str">
        <f t="shared" si="1"/>
        <v>No</v>
      </c>
    </row>
    <row r="57" spans="1:13" x14ac:dyDescent="0.3">
      <c r="A57" s="18">
        <v>56</v>
      </c>
      <c r="B57" s="19" t="s">
        <v>104</v>
      </c>
      <c r="C57" s="19" t="s">
        <v>107</v>
      </c>
      <c r="D57" s="19" t="s">
        <v>108</v>
      </c>
      <c r="E57" s="19" t="s">
        <v>38</v>
      </c>
      <c r="F57" s="19" t="s">
        <v>19</v>
      </c>
      <c r="G57" s="19" t="s">
        <v>20</v>
      </c>
      <c r="H57" s="19" t="s">
        <v>21</v>
      </c>
      <c r="I57" s="19" t="s">
        <v>16</v>
      </c>
      <c r="J57" s="14" t="s">
        <v>130</v>
      </c>
      <c r="K57" s="19"/>
      <c r="L57" s="14" t="str">
        <f t="shared" si="0"/>
        <v>Unique</v>
      </c>
      <c r="M57" s="11" t="str">
        <f t="shared" si="1"/>
        <v>Yes</v>
      </c>
    </row>
    <row r="58" spans="1:13" x14ac:dyDescent="0.3">
      <c r="A58" s="18">
        <v>57</v>
      </c>
      <c r="B58" s="19" t="s">
        <v>104</v>
      </c>
      <c r="C58" s="19" t="s">
        <v>109</v>
      </c>
      <c r="D58" s="19" t="s">
        <v>108</v>
      </c>
      <c r="E58" s="19" t="s">
        <v>40</v>
      </c>
      <c r="F58" s="19" t="s">
        <v>41</v>
      </c>
      <c r="G58" s="19" t="s">
        <v>14</v>
      </c>
      <c r="H58" s="19" t="s">
        <v>26</v>
      </c>
      <c r="I58" s="19" t="s">
        <v>22</v>
      </c>
      <c r="J58" s="14" t="s">
        <v>130</v>
      </c>
      <c r="K58" s="19"/>
      <c r="L58" s="14" t="str">
        <f t="shared" si="0"/>
        <v>Unique</v>
      </c>
      <c r="M58" s="11" t="str">
        <f t="shared" si="1"/>
        <v>No</v>
      </c>
    </row>
    <row r="59" spans="1:13" x14ac:dyDescent="0.3">
      <c r="A59" s="18">
        <v>58</v>
      </c>
      <c r="B59" s="19" t="s">
        <v>110</v>
      </c>
      <c r="C59" s="19" t="s">
        <v>111</v>
      </c>
      <c r="D59" s="19" t="s">
        <v>112</v>
      </c>
      <c r="E59" s="19" t="s">
        <v>43</v>
      </c>
      <c r="F59" s="19" t="s">
        <v>13</v>
      </c>
      <c r="G59" s="19" t="s">
        <v>30</v>
      </c>
      <c r="H59" s="19" t="s">
        <v>57</v>
      </c>
      <c r="I59" s="19" t="s">
        <v>27</v>
      </c>
      <c r="J59" s="14" t="s">
        <v>130</v>
      </c>
      <c r="K59" s="19"/>
      <c r="L59" s="14" t="str">
        <f t="shared" si="0"/>
        <v>Duplicate</v>
      </c>
      <c r="M59" s="11" t="str">
        <f t="shared" si="1"/>
        <v>No</v>
      </c>
    </row>
    <row r="60" spans="1:13" x14ac:dyDescent="0.3">
      <c r="A60" s="18">
        <v>59</v>
      </c>
      <c r="B60" s="19" t="s">
        <v>110</v>
      </c>
      <c r="C60" s="19" t="s">
        <v>113</v>
      </c>
      <c r="D60" s="19" t="s">
        <v>112</v>
      </c>
      <c r="E60" s="19" t="s">
        <v>45</v>
      </c>
      <c r="F60" s="19" t="s">
        <v>46</v>
      </c>
      <c r="G60" s="19" t="s">
        <v>14</v>
      </c>
      <c r="H60" s="19" t="s">
        <v>35</v>
      </c>
      <c r="I60" s="19" t="s">
        <v>32</v>
      </c>
      <c r="J60" s="14" t="s">
        <v>130</v>
      </c>
      <c r="K60" s="19"/>
      <c r="L60" s="14" t="str">
        <f t="shared" si="0"/>
        <v>Unique</v>
      </c>
      <c r="M60" s="11" t="str">
        <f t="shared" si="1"/>
        <v>Yes</v>
      </c>
    </row>
    <row r="61" spans="1:13" x14ac:dyDescent="0.3">
      <c r="A61" s="18">
        <v>60</v>
      </c>
      <c r="B61" s="19" t="s">
        <v>110</v>
      </c>
      <c r="C61" s="19" t="s">
        <v>111</v>
      </c>
      <c r="D61" s="19" t="s">
        <v>112</v>
      </c>
      <c r="E61" s="19" t="s">
        <v>50</v>
      </c>
      <c r="F61" s="19" t="s">
        <v>54</v>
      </c>
      <c r="G61" s="19" t="s">
        <v>14</v>
      </c>
      <c r="H61" s="19" t="s">
        <v>15</v>
      </c>
      <c r="I61" s="19" t="s">
        <v>36</v>
      </c>
      <c r="J61" s="14" t="s">
        <v>130</v>
      </c>
      <c r="K61" s="19"/>
      <c r="L61" s="14" t="str">
        <f t="shared" si="0"/>
        <v>Duplicate</v>
      </c>
      <c r="M61" s="11" t="str">
        <f t="shared" si="1"/>
        <v>No</v>
      </c>
    </row>
    <row r="62" spans="1:13" x14ac:dyDescent="0.3">
      <c r="A62" s="18">
        <v>61</v>
      </c>
      <c r="B62" s="19" t="s">
        <v>110</v>
      </c>
      <c r="C62" s="19" t="s">
        <v>114</v>
      </c>
      <c r="D62" s="19" t="s">
        <v>112</v>
      </c>
      <c r="E62" s="19" t="s">
        <v>12</v>
      </c>
      <c r="F62" s="19" t="s">
        <v>19</v>
      </c>
      <c r="G62" s="19" t="s">
        <v>14</v>
      </c>
      <c r="H62" s="19" t="s">
        <v>70</v>
      </c>
      <c r="I62" s="19" t="s">
        <v>16</v>
      </c>
      <c r="J62" s="14" t="s">
        <v>130</v>
      </c>
      <c r="K62" s="19"/>
      <c r="L62" s="14" t="str">
        <f t="shared" si="0"/>
        <v>Unique</v>
      </c>
      <c r="M62" s="11" t="str">
        <f t="shared" si="1"/>
        <v>No</v>
      </c>
    </row>
    <row r="63" spans="1:13" x14ac:dyDescent="0.3">
      <c r="A63" s="18">
        <v>62</v>
      </c>
      <c r="B63" s="19" t="s">
        <v>115</v>
      </c>
      <c r="C63" s="19" t="s">
        <v>116</v>
      </c>
      <c r="D63" s="19" t="s">
        <v>117</v>
      </c>
      <c r="E63" s="19" t="s">
        <v>18</v>
      </c>
      <c r="F63" s="19" t="s">
        <v>41</v>
      </c>
      <c r="G63" s="19" t="s">
        <v>14</v>
      </c>
      <c r="H63" s="19" t="s">
        <v>35</v>
      </c>
      <c r="I63" s="19" t="s">
        <v>22</v>
      </c>
      <c r="J63" s="14" t="s">
        <v>130</v>
      </c>
      <c r="K63" s="19"/>
      <c r="L63" s="14" t="str">
        <f t="shared" si="0"/>
        <v>Unique</v>
      </c>
      <c r="M63" s="11" t="str">
        <f t="shared" si="1"/>
        <v>Yes</v>
      </c>
    </row>
    <row r="64" spans="1:13" x14ac:dyDescent="0.3">
      <c r="A64" s="18">
        <v>63</v>
      </c>
      <c r="B64" s="19" t="s">
        <v>115</v>
      </c>
      <c r="C64" s="19" t="s">
        <v>118</v>
      </c>
      <c r="D64" s="19" t="s">
        <v>117</v>
      </c>
      <c r="E64" s="19" t="s">
        <v>24</v>
      </c>
      <c r="F64" s="19" t="s">
        <v>46</v>
      </c>
      <c r="G64" s="19" t="s">
        <v>14</v>
      </c>
      <c r="H64" s="19" t="s">
        <v>35</v>
      </c>
      <c r="I64" s="19" t="s">
        <v>27</v>
      </c>
      <c r="J64" s="14" t="s">
        <v>130</v>
      </c>
      <c r="K64" s="19"/>
      <c r="L64" s="14" t="str">
        <f t="shared" si="0"/>
        <v>Unique</v>
      </c>
      <c r="M64" s="11" t="str">
        <f t="shared" si="1"/>
        <v>Yes</v>
      </c>
    </row>
    <row r="65" spans="1:13" x14ac:dyDescent="0.3">
      <c r="A65" s="18">
        <v>64</v>
      </c>
      <c r="B65" s="19" t="s">
        <v>119</v>
      </c>
      <c r="C65" s="19" t="s">
        <v>120</v>
      </c>
      <c r="D65" s="19" t="s">
        <v>121</v>
      </c>
      <c r="E65" s="19" t="s">
        <v>29</v>
      </c>
      <c r="F65" s="19" t="s">
        <v>41</v>
      </c>
      <c r="G65" s="19" t="s">
        <v>14</v>
      </c>
      <c r="H65" s="19" t="s">
        <v>21</v>
      </c>
      <c r="I65" s="19" t="s">
        <v>32</v>
      </c>
      <c r="J65" s="14" t="s">
        <v>130</v>
      </c>
      <c r="K65" s="19"/>
      <c r="L65" s="14" t="str">
        <f t="shared" si="0"/>
        <v>Unique</v>
      </c>
      <c r="M65" s="11" t="str">
        <f t="shared" si="1"/>
        <v>No</v>
      </c>
    </row>
    <row r="66" spans="1:13" x14ac:dyDescent="0.3">
      <c r="A66" s="18">
        <v>65</v>
      </c>
      <c r="B66" s="19" t="s">
        <v>97</v>
      </c>
      <c r="C66" s="19" t="s">
        <v>103</v>
      </c>
      <c r="D66" s="19" t="s">
        <v>100</v>
      </c>
      <c r="E66" s="19" t="s">
        <v>34</v>
      </c>
      <c r="F66" s="19" t="s">
        <v>19</v>
      </c>
      <c r="G66" s="19" t="s">
        <v>25</v>
      </c>
      <c r="H66" s="19" t="s">
        <v>47</v>
      </c>
      <c r="I66" s="19" t="s">
        <v>36</v>
      </c>
      <c r="J66" s="14" t="s">
        <v>130</v>
      </c>
      <c r="K66" s="19"/>
      <c r="L66" s="14" t="str">
        <f t="shared" si="0"/>
        <v>Duplicate</v>
      </c>
      <c r="M66" s="11" t="str">
        <f t="shared" si="1"/>
        <v>Yes</v>
      </c>
    </row>
    <row r="67" spans="1:13" x14ac:dyDescent="0.3">
      <c r="A67" s="20">
        <v>66</v>
      </c>
      <c r="B67" s="21" t="s">
        <v>9</v>
      </c>
      <c r="C67" s="21" t="s">
        <v>95</v>
      </c>
      <c r="D67" s="21" t="s">
        <v>96</v>
      </c>
      <c r="E67" s="21" t="s">
        <v>38</v>
      </c>
      <c r="F67" s="21" t="s">
        <v>41</v>
      </c>
      <c r="G67" s="21" t="s">
        <v>20</v>
      </c>
      <c r="H67" s="21" t="s">
        <v>15</v>
      </c>
      <c r="I67" s="21" t="s">
        <v>16</v>
      </c>
      <c r="J67" s="15" t="s">
        <v>130</v>
      </c>
      <c r="K67" s="21"/>
      <c r="L67" s="15" t="str">
        <f t="shared" ref="L67" si="2">IF(J67="Yes","Review",IF(COUNTIF($C$2:$C$67,C67)&gt;1,"Duplicate","Unique"))</f>
        <v>Duplicate</v>
      </c>
      <c r="M67" s="11" t="str">
        <f t="shared" ref="M67" si="3">IF(OR(G67="Follow-up",H67="Call back tomorrow",H67="Interested - follow up"),"Yes","No")</f>
        <v>Yes</v>
      </c>
    </row>
  </sheetData>
  <mergeCells count="2">
    <mergeCell ref="O2:O4"/>
    <mergeCell ref="P2:P4"/>
  </mergeCells>
  <conditionalFormatting sqref="A2:M67">
    <cfRule type="expression" dxfId="3" priority="2">
      <formula>$J2="Yes"</formula>
    </cfRule>
    <cfRule type="expression" dxfId="2" priority="1">
      <formula>$M2="Yes"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1AB2F-16AE-4A04-9984-94FBDCC192B8}">
  <dimension ref="A1:H11"/>
  <sheetViews>
    <sheetView workbookViewId="0">
      <selection activeCell="E18" sqref="E18"/>
    </sheetView>
  </sheetViews>
  <sheetFormatPr defaultRowHeight="14.4" x14ac:dyDescent="0.3"/>
  <cols>
    <col min="1" max="1" width="16.6640625" bestFit="1" customWidth="1"/>
    <col min="2" max="2" width="17.33203125" bestFit="1" customWidth="1"/>
    <col min="3" max="3" width="14.5546875" customWidth="1"/>
    <col min="4" max="4" width="16" bestFit="1" customWidth="1"/>
    <col min="5" max="5" width="14" bestFit="1" customWidth="1"/>
    <col min="6" max="7" width="16.44140625" bestFit="1" customWidth="1"/>
    <col min="8" max="8" width="22.88671875" customWidth="1"/>
  </cols>
  <sheetData>
    <row r="1" spans="1:8" s="4" customFormat="1" ht="33" customHeight="1" x14ac:dyDescent="0.3">
      <c r="A1" s="33" t="s">
        <v>133</v>
      </c>
      <c r="B1" s="33" t="s">
        <v>134</v>
      </c>
      <c r="C1" s="33" t="s">
        <v>14</v>
      </c>
      <c r="D1" s="33" t="s">
        <v>20</v>
      </c>
      <c r="E1" s="33" t="s">
        <v>30</v>
      </c>
      <c r="F1" s="33" t="s">
        <v>75</v>
      </c>
      <c r="G1" s="33" t="s">
        <v>25</v>
      </c>
      <c r="H1" s="33" t="s">
        <v>135</v>
      </c>
    </row>
    <row r="2" spans="1:8" ht="18" x14ac:dyDescent="0.35">
      <c r="A2" s="34" t="s">
        <v>13</v>
      </c>
      <c r="B2" s="34">
        <f>COUNTIF(CLEAN_DATA!$F$2:$F$67,A2)</f>
        <v>15</v>
      </c>
      <c r="C2" s="34">
        <f>COUNTIFS(CLEAN_DATA!$F$2:$F$67,A2,CLEAN_DATA!$G$2:$G$67,C$1)</f>
        <v>5</v>
      </c>
      <c r="D2" s="34">
        <f>COUNTIFS(CLEAN_DATA!$F$2:$F$67,A2,CLEAN_DATA!$G$2:$G$67,D$1)</f>
        <v>4</v>
      </c>
      <c r="E2" s="34">
        <f>COUNTIFS(CLEAN_DATA!$F$2:$F$67,A2,CLEAN_DATA!$G$2:$G$67,E$1)</f>
        <v>3</v>
      </c>
      <c r="F2" s="34">
        <f>COUNTIFS(CLEAN_DATA!$F$2:$F$67,A2,CLEAN_DATA!$G$2:$G$67,F$1)</f>
        <v>1</v>
      </c>
      <c r="G2" s="34">
        <f>COUNTIFS(CLEAN_DATA!$F$2:$F$67,A2,CLEAN_DATA!$G$2:$G$67,G$1)</f>
        <v>2</v>
      </c>
      <c r="H2" s="93">
        <f>F2/B2</f>
        <v>6.6666666666666666E-2</v>
      </c>
    </row>
    <row r="3" spans="1:8" ht="18" x14ac:dyDescent="0.35">
      <c r="A3" s="34" t="s">
        <v>19</v>
      </c>
      <c r="B3" s="34">
        <f>COUNTIF(CLEAN_DATA!$F$2:$F$67,A3)</f>
        <v>16</v>
      </c>
      <c r="C3" s="34">
        <f>COUNTIFS(CLEAN_DATA!$F$2:$F$67,A3,CLEAN_DATA!$G$2:$G$67,C$1)</f>
        <v>2</v>
      </c>
      <c r="D3" s="34">
        <f>COUNTIFS(CLEAN_DATA!$F$2:$F$67,A3,CLEAN_DATA!$G$2:$G$67,D$1)</f>
        <v>5</v>
      </c>
      <c r="E3" s="34">
        <f>COUNTIFS(CLEAN_DATA!$F$2:$F$67,A3,CLEAN_DATA!$G$2:$G$67,E$1)</f>
        <v>0</v>
      </c>
      <c r="F3" s="34">
        <f>COUNTIFS(CLEAN_DATA!$F$2:$F$67,A3,CLEAN_DATA!$G$2:$G$67,F$1)</f>
        <v>2</v>
      </c>
      <c r="G3" s="34">
        <f>COUNTIFS(CLEAN_DATA!$F$2:$F$67,A3,CLEAN_DATA!$G$2:$G$67,G$1)</f>
        <v>7</v>
      </c>
      <c r="H3" s="93">
        <f t="shared" ref="H3:H6" si="0">F3/B3</f>
        <v>0.125</v>
      </c>
    </row>
    <row r="4" spans="1:8" ht="18" x14ac:dyDescent="0.35">
      <c r="A4" s="34" t="s">
        <v>41</v>
      </c>
      <c r="B4" s="34">
        <f>COUNTIF(CLEAN_DATA!$F$2:$F$67,A4)</f>
        <v>13</v>
      </c>
      <c r="C4" s="34">
        <f>COUNTIFS(CLEAN_DATA!$F$2:$F$67,A4,CLEAN_DATA!$G$2:$G$67,C$1)</f>
        <v>6</v>
      </c>
      <c r="D4" s="34">
        <f>COUNTIFS(CLEAN_DATA!$F$2:$F$67,A4,CLEAN_DATA!$G$2:$G$67,D$1)</f>
        <v>4</v>
      </c>
      <c r="E4" s="34">
        <f>COUNTIFS(CLEAN_DATA!$F$2:$F$67,A4,CLEAN_DATA!$G$2:$G$67,E$1)</f>
        <v>1</v>
      </c>
      <c r="F4" s="34">
        <f>COUNTIFS(CLEAN_DATA!$F$2:$F$67,A4,CLEAN_DATA!$G$2:$G$67,F$1)</f>
        <v>1</v>
      </c>
      <c r="G4" s="34">
        <f>COUNTIFS(CLEAN_DATA!$F$2:$F$67,A4,CLEAN_DATA!$G$2:$G$67,G$1)</f>
        <v>1</v>
      </c>
      <c r="H4" s="93">
        <f t="shared" si="0"/>
        <v>7.6923076923076927E-2</v>
      </c>
    </row>
    <row r="5" spans="1:8" ht="18" x14ac:dyDescent="0.35">
      <c r="A5" s="34" t="s">
        <v>46</v>
      </c>
      <c r="B5" s="34">
        <f>COUNTIF(CLEAN_DATA!$F$2:$F$67,A5)</f>
        <v>11</v>
      </c>
      <c r="C5" s="34">
        <f>COUNTIFS(CLEAN_DATA!$F$2:$F$67,A5,CLEAN_DATA!$G$2:$G$67,C$1)</f>
        <v>3</v>
      </c>
      <c r="D5" s="34">
        <f>COUNTIFS(CLEAN_DATA!$F$2:$F$67,A5,CLEAN_DATA!$G$2:$G$67,D$1)</f>
        <v>1</v>
      </c>
      <c r="E5" s="34">
        <f>COUNTIFS(CLEAN_DATA!$F$2:$F$67,A5,CLEAN_DATA!$G$2:$G$67,E$1)</f>
        <v>4</v>
      </c>
      <c r="F5" s="34">
        <f>COUNTIFS(CLEAN_DATA!$F$2:$F$67,A5,CLEAN_DATA!$G$2:$G$67,F$1)</f>
        <v>1</v>
      </c>
      <c r="G5" s="34">
        <f>COUNTIFS(CLEAN_DATA!$F$2:$F$67,A5,CLEAN_DATA!$G$2:$G$67,G$1)</f>
        <v>2</v>
      </c>
      <c r="H5" s="93">
        <f t="shared" si="0"/>
        <v>9.0909090909090912E-2</v>
      </c>
    </row>
    <row r="6" spans="1:8" ht="18" x14ac:dyDescent="0.35">
      <c r="A6" s="34" t="s">
        <v>54</v>
      </c>
      <c r="B6" s="34">
        <f>COUNTIF(CLEAN_DATA!$F$2:$F$67,A6)</f>
        <v>11</v>
      </c>
      <c r="C6" s="34">
        <f>COUNTIFS(CLEAN_DATA!$F$2:$F$67,A6,CLEAN_DATA!$G$2:$G$67,C$1)</f>
        <v>4</v>
      </c>
      <c r="D6" s="34">
        <f>COUNTIFS(CLEAN_DATA!$F$2:$F$67,A6,CLEAN_DATA!$G$2:$G$67,D$1)</f>
        <v>3</v>
      </c>
      <c r="E6" s="34">
        <f>COUNTIFS(CLEAN_DATA!$F$2:$F$67,A6,CLEAN_DATA!$G$2:$G$67,E$1)</f>
        <v>2</v>
      </c>
      <c r="F6" s="34">
        <f>COUNTIFS(CLEAN_DATA!$F$2:$F$67,A6,CLEAN_DATA!$G$2:$G$67,F$1)</f>
        <v>1</v>
      </c>
      <c r="G6" s="34">
        <f>COUNTIFS(CLEAN_DATA!$F$2:$F$67,A6,CLEAN_DATA!$G$2:$G$67,G$1)</f>
        <v>1</v>
      </c>
      <c r="H6" s="93">
        <f t="shared" si="0"/>
        <v>9.0909090909090912E-2</v>
      </c>
    </row>
    <row r="7" spans="1:8" ht="18" x14ac:dyDescent="0.35">
      <c r="A7" s="34" t="s">
        <v>143</v>
      </c>
      <c r="B7" s="34">
        <f>SUBTOTAL(109,Table5[Total Leads])</f>
        <v>66</v>
      </c>
      <c r="C7" s="34">
        <f>SUBTOTAL(109,Table5[New])</f>
        <v>20</v>
      </c>
      <c r="D7" s="34">
        <f>SUBTOTAL(109,Table5[Follow-up])</f>
        <v>17</v>
      </c>
      <c r="E7" s="34">
        <f>SUBTOTAL(109,Table5[Pending])</f>
        <v>10</v>
      </c>
      <c r="F7" s="34">
        <f>SUBTOTAL(109,Table5[Converted])</f>
        <v>6</v>
      </c>
      <c r="G7" s="34">
        <f>SUBTOTAL(109,Table5[Not Interested])</f>
        <v>13</v>
      </c>
      <c r="H7" s="61">
        <f>F7/B7</f>
        <v>9.0909090909090912E-2</v>
      </c>
    </row>
    <row r="10" spans="1:8" x14ac:dyDescent="0.3">
      <c r="B10" s="35" t="s">
        <v>136</v>
      </c>
      <c r="C10" s="35"/>
      <c r="D10" s="35" t="str">
        <f>INDEX(A2:A6,MATCH(MAX(H2:H6),H2:H6,0))</f>
        <v>Anjali</v>
      </c>
    </row>
    <row r="11" spans="1:8" x14ac:dyDescent="0.3">
      <c r="B11" s="35"/>
      <c r="C11" s="35"/>
      <c r="D11" s="35"/>
    </row>
  </sheetData>
  <mergeCells count="2">
    <mergeCell ref="B10:C11"/>
    <mergeCell ref="D10:D1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160A-864D-4BBA-8174-CDE9EAE0301A}">
  <dimension ref="A1:H31"/>
  <sheetViews>
    <sheetView workbookViewId="0">
      <selection activeCell="B14" sqref="B14"/>
    </sheetView>
  </sheetViews>
  <sheetFormatPr defaultRowHeight="14.4" x14ac:dyDescent="0.3"/>
  <cols>
    <col min="1" max="1" width="35.88671875" bestFit="1" customWidth="1"/>
    <col min="2" max="2" width="19.77734375" style="5" bestFit="1" customWidth="1"/>
    <col min="3" max="3" width="11.44140625" bestFit="1" customWidth="1"/>
    <col min="4" max="4" width="18.21875" bestFit="1" customWidth="1"/>
    <col min="5" max="5" width="15.6640625" bestFit="1" customWidth="1"/>
    <col min="6" max="6" width="18.77734375" bestFit="1" customWidth="1"/>
    <col min="7" max="7" width="24.109375" bestFit="1" customWidth="1"/>
  </cols>
  <sheetData>
    <row r="1" spans="1:7" s="8" customFormat="1" ht="27.6" customHeight="1" x14ac:dyDescent="0.3">
      <c r="A1" s="28" t="s">
        <v>7</v>
      </c>
      <c r="B1" s="29" t="s">
        <v>134</v>
      </c>
      <c r="C1" s="30" t="s">
        <v>14</v>
      </c>
      <c r="D1" s="30" t="s">
        <v>20</v>
      </c>
      <c r="E1" s="30" t="s">
        <v>30</v>
      </c>
      <c r="F1" s="30" t="s">
        <v>75</v>
      </c>
      <c r="G1" s="30" t="s">
        <v>25</v>
      </c>
    </row>
    <row r="2" spans="1:7" ht="21" x14ac:dyDescent="0.4">
      <c r="A2" s="31" t="s">
        <v>15</v>
      </c>
      <c r="B2" s="32">
        <f>COUNTIF(CLEAN_DATA!$H$2:$H$67,A2)</f>
        <v>8</v>
      </c>
      <c r="C2" s="32">
        <f>COUNTIFS(CLEAN_DATA!$H$2:$H$67,$A2,CLEAN_DATA!$G$2:$G$67,C$1)</f>
        <v>3</v>
      </c>
      <c r="D2" s="32">
        <f>COUNTIFS(CLEAN_DATA!$H$2:$H$67,$A2,CLEAN_DATA!$G$2:$G$67,D$1)</f>
        <v>1</v>
      </c>
      <c r="E2" s="32">
        <f>COUNTIFS(CLEAN_DATA!$H$2:$H$67,$A2,CLEAN_DATA!$G$2:$G$67,E$1)</f>
        <v>1</v>
      </c>
      <c r="F2" s="32">
        <f>COUNTIFS(CLEAN_DATA!$H$2:$H$67,$A2,CLEAN_DATA!$G$2:$G$67,F$1)</f>
        <v>2</v>
      </c>
      <c r="G2" s="32">
        <f>COUNTIFS(CLEAN_DATA!$H$2:$H$67,$A2,CLEAN_DATA!$G$2:$G$67,G$1)</f>
        <v>1</v>
      </c>
    </row>
    <row r="3" spans="1:7" ht="21" x14ac:dyDescent="0.4">
      <c r="A3" s="31" t="s">
        <v>21</v>
      </c>
      <c r="B3" s="32">
        <f>COUNTIF(CLEAN_DATA!$H$2:$H$67,A3)</f>
        <v>9</v>
      </c>
      <c r="C3" s="32">
        <f>COUNTIFS(CLEAN_DATA!$H$2:$H$67,$A3,CLEAN_DATA!$G$2:$G$67,C$1)</f>
        <v>1</v>
      </c>
      <c r="D3" s="32">
        <f>COUNTIFS(CLEAN_DATA!$H$2:$H$67,$A3,CLEAN_DATA!$G$2:$G$67,D$1)</f>
        <v>5</v>
      </c>
      <c r="E3" s="32">
        <f>COUNTIFS(CLEAN_DATA!$H$2:$H$67,$A3,CLEAN_DATA!$G$2:$G$67,E$1)</f>
        <v>2</v>
      </c>
      <c r="F3" s="32">
        <f>COUNTIFS(CLEAN_DATA!$H$2:$H$67,$A3,CLEAN_DATA!$G$2:$G$67,F$1)</f>
        <v>0</v>
      </c>
      <c r="G3" s="32">
        <f>COUNTIFS(CLEAN_DATA!$H$2:$H$67,$A3,CLEAN_DATA!$G$2:$G$67,G$1)</f>
        <v>1</v>
      </c>
    </row>
    <row r="4" spans="1:7" ht="21" x14ac:dyDescent="0.4">
      <c r="A4" s="31" t="s">
        <v>26</v>
      </c>
      <c r="B4" s="32">
        <f>COUNTIF(CLEAN_DATA!$H$2:$H$67,A4)</f>
        <v>9</v>
      </c>
      <c r="C4" s="32">
        <f>COUNTIFS(CLEAN_DATA!$H$2:$H$67,$A4,CLEAN_DATA!$G$2:$G$67,C$1)</f>
        <v>3</v>
      </c>
      <c r="D4" s="32">
        <f>COUNTIFS(CLEAN_DATA!$H$2:$H$67,$A4,CLEAN_DATA!$G$2:$G$67,D$1)</f>
        <v>1</v>
      </c>
      <c r="E4" s="32">
        <f>COUNTIFS(CLEAN_DATA!$H$2:$H$67,$A4,CLEAN_DATA!$G$2:$G$67,E$1)</f>
        <v>0</v>
      </c>
      <c r="F4" s="32">
        <f>COUNTIFS(CLEAN_DATA!$H$2:$H$67,$A4,CLEAN_DATA!$G$2:$G$67,F$1)</f>
        <v>0</v>
      </c>
      <c r="G4" s="32">
        <f>COUNTIFS(CLEAN_DATA!$H$2:$H$67,$A4,CLEAN_DATA!$G$2:$G$67,G$1)</f>
        <v>5</v>
      </c>
    </row>
    <row r="5" spans="1:7" ht="21" x14ac:dyDescent="0.4">
      <c r="A5" s="31" t="s">
        <v>31</v>
      </c>
      <c r="B5" s="32">
        <f>COUNTIF(CLEAN_DATA!$H$2:$H$67,A5)</f>
        <v>6</v>
      </c>
      <c r="C5" s="32">
        <f>COUNTIFS(CLEAN_DATA!$H$2:$H$67,$A5,CLEAN_DATA!$G$2:$G$67,C$1)</f>
        <v>1</v>
      </c>
      <c r="D5" s="32">
        <f>COUNTIFS(CLEAN_DATA!$H$2:$H$67,$A5,CLEAN_DATA!$G$2:$G$67,D$1)</f>
        <v>1</v>
      </c>
      <c r="E5" s="32">
        <f>COUNTIFS(CLEAN_DATA!$H$2:$H$67,$A5,CLEAN_DATA!$G$2:$G$67,E$1)</f>
        <v>2</v>
      </c>
      <c r="F5" s="32">
        <f>COUNTIFS(CLEAN_DATA!$H$2:$H$67,$A5,CLEAN_DATA!$G$2:$G$67,F$1)</f>
        <v>1</v>
      </c>
      <c r="G5" s="32">
        <f>COUNTIFS(CLEAN_DATA!$H$2:$H$67,$A5,CLEAN_DATA!$G$2:$G$67,G$1)</f>
        <v>1</v>
      </c>
    </row>
    <row r="6" spans="1:7" ht="21" x14ac:dyDescent="0.4">
      <c r="A6" s="31" t="s">
        <v>35</v>
      </c>
      <c r="B6" s="32">
        <f>COUNTIF(CLEAN_DATA!$H$2:$H$67,A6)</f>
        <v>8</v>
      </c>
      <c r="C6" s="32">
        <f>COUNTIFS(CLEAN_DATA!$H$2:$H$67,$A6,CLEAN_DATA!$G$2:$G$67,C$1)</f>
        <v>5</v>
      </c>
      <c r="D6" s="32">
        <f>COUNTIFS(CLEAN_DATA!$H$2:$H$67,$A6,CLEAN_DATA!$G$2:$G$67,D$1)</f>
        <v>0</v>
      </c>
      <c r="E6" s="32">
        <f>COUNTIFS(CLEAN_DATA!$H$2:$H$67,$A6,CLEAN_DATA!$G$2:$G$67,E$1)</f>
        <v>2</v>
      </c>
      <c r="F6" s="32">
        <f>COUNTIFS(CLEAN_DATA!$H$2:$H$67,$A6,CLEAN_DATA!$G$2:$G$67,F$1)</f>
        <v>1</v>
      </c>
      <c r="G6" s="32">
        <f>COUNTIFS(CLEAN_DATA!$H$2:$H$67,$A6,CLEAN_DATA!$G$2:$G$67,G$1)</f>
        <v>0</v>
      </c>
    </row>
    <row r="7" spans="1:7" ht="21" x14ac:dyDescent="0.4">
      <c r="A7" s="31" t="s">
        <v>47</v>
      </c>
      <c r="B7" s="32">
        <f>COUNTIF(CLEAN_DATA!$H$2:$H$67,A7)</f>
        <v>4</v>
      </c>
      <c r="C7" s="32">
        <f>COUNTIFS(CLEAN_DATA!$H$2:$H$67,$A7,CLEAN_DATA!$G$2:$G$67,C$1)</f>
        <v>0</v>
      </c>
      <c r="D7" s="32">
        <f>COUNTIFS(CLEAN_DATA!$H$2:$H$67,$A7,CLEAN_DATA!$G$2:$G$67,D$1)</f>
        <v>2</v>
      </c>
      <c r="E7" s="32">
        <f>COUNTIFS(CLEAN_DATA!$H$2:$H$67,$A7,CLEAN_DATA!$G$2:$G$67,E$1)</f>
        <v>0</v>
      </c>
      <c r="F7" s="32">
        <f>COUNTIFS(CLEAN_DATA!$H$2:$H$67,$A7,CLEAN_DATA!$G$2:$G$67,F$1)</f>
        <v>0</v>
      </c>
      <c r="G7" s="32">
        <f>COUNTIFS(CLEAN_DATA!$H$2:$H$67,$A7,CLEAN_DATA!$G$2:$G$67,G$1)</f>
        <v>2</v>
      </c>
    </row>
    <row r="8" spans="1:7" ht="21" x14ac:dyDescent="0.4">
      <c r="A8" s="31" t="s">
        <v>51</v>
      </c>
      <c r="B8" s="32">
        <f>COUNTIF(CLEAN_DATA!$H$2:$H$67,A8)</f>
        <v>5</v>
      </c>
      <c r="C8" s="32">
        <f>COUNTIFS(CLEAN_DATA!$H$2:$H$67,$A8,CLEAN_DATA!$G$2:$G$67,C$1)</f>
        <v>1</v>
      </c>
      <c r="D8" s="32">
        <f>COUNTIFS(CLEAN_DATA!$H$2:$H$67,$A8,CLEAN_DATA!$G$2:$G$67,D$1)</f>
        <v>3</v>
      </c>
      <c r="E8" s="32">
        <f>COUNTIFS(CLEAN_DATA!$H$2:$H$67,$A8,CLEAN_DATA!$G$2:$G$67,E$1)</f>
        <v>0</v>
      </c>
      <c r="F8" s="32">
        <f>COUNTIFS(CLEAN_DATA!$H$2:$H$67,$A8,CLEAN_DATA!$G$2:$G$67,F$1)</f>
        <v>1</v>
      </c>
      <c r="G8" s="32">
        <f>COUNTIFS(CLEAN_DATA!$H$2:$H$67,$A8,CLEAN_DATA!$G$2:$G$67,G$1)</f>
        <v>0</v>
      </c>
    </row>
    <row r="9" spans="1:7" ht="21" x14ac:dyDescent="0.4">
      <c r="A9" s="31" t="s">
        <v>57</v>
      </c>
      <c r="B9" s="32">
        <f>COUNTIF(CLEAN_DATA!$H$2:$H$67,A9)</f>
        <v>7</v>
      </c>
      <c r="C9" s="32">
        <f>COUNTIFS(CLEAN_DATA!$H$2:$H$67,$A9,CLEAN_DATA!$G$2:$G$67,C$1)</f>
        <v>2</v>
      </c>
      <c r="D9" s="32">
        <f>COUNTIFS(CLEAN_DATA!$H$2:$H$67,$A9,CLEAN_DATA!$G$2:$G$67,D$1)</f>
        <v>2</v>
      </c>
      <c r="E9" s="32">
        <f>COUNTIFS(CLEAN_DATA!$H$2:$H$67,$A9,CLEAN_DATA!$G$2:$G$67,E$1)</f>
        <v>1</v>
      </c>
      <c r="F9" s="32">
        <f>COUNTIFS(CLEAN_DATA!$H$2:$H$67,$A9,CLEAN_DATA!$G$2:$G$67,F$1)</f>
        <v>0</v>
      </c>
      <c r="G9" s="32">
        <f>COUNTIFS(CLEAN_DATA!$H$2:$H$67,$A9,CLEAN_DATA!$G$2:$G$67,G$1)</f>
        <v>2</v>
      </c>
    </row>
    <row r="10" spans="1:7" ht="21" x14ac:dyDescent="0.4">
      <c r="A10" s="31" t="s">
        <v>67</v>
      </c>
      <c r="B10" s="32">
        <f>COUNTIF(CLEAN_DATA!$H$2:$H$67,A10)</f>
        <v>4</v>
      </c>
      <c r="C10" s="32">
        <f>COUNTIFS(CLEAN_DATA!$H$2:$H$67,$A10,CLEAN_DATA!$G$2:$G$67,C$1)</f>
        <v>1</v>
      </c>
      <c r="D10" s="32">
        <f>COUNTIFS(CLEAN_DATA!$H$2:$H$67,$A10,CLEAN_DATA!$G$2:$G$67,D$1)</f>
        <v>2</v>
      </c>
      <c r="E10" s="32">
        <f>COUNTIFS(CLEAN_DATA!$H$2:$H$67,$A10,CLEAN_DATA!$G$2:$G$67,E$1)</f>
        <v>0</v>
      </c>
      <c r="F10" s="32">
        <f>COUNTIFS(CLEAN_DATA!$H$2:$H$67,$A10,CLEAN_DATA!$G$2:$G$67,F$1)</f>
        <v>1</v>
      </c>
      <c r="G10" s="32">
        <f>COUNTIFS(CLEAN_DATA!$H$2:$H$67,$A10,CLEAN_DATA!$G$2:$G$67,G$1)</f>
        <v>0</v>
      </c>
    </row>
    <row r="11" spans="1:7" ht="21" x14ac:dyDescent="0.4">
      <c r="A11" s="31" t="s">
        <v>70</v>
      </c>
      <c r="B11" s="32">
        <f>COUNTIF(CLEAN_DATA!$H$2:$H$67,A11)</f>
        <v>6</v>
      </c>
      <c r="C11" s="32">
        <f>COUNTIFS(CLEAN_DATA!$H$2:$H$67,$A11,CLEAN_DATA!$G$2:$G$67,C$1)</f>
        <v>3</v>
      </c>
      <c r="D11" s="32">
        <f>COUNTIFS(CLEAN_DATA!$H$2:$H$67,$A11,CLEAN_DATA!$G$2:$G$67,D$1)</f>
        <v>0</v>
      </c>
      <c r="E11" s="32">
        <f>COUNTIFS(CLEAN_DATA!$H$2:$H$67,$A11,CLEAN_DATA!$G$2:$G$67,E$1)</f>
        <v>2</v>
      </c>
      <c r="F11" s="32">
        <f>COUNTIFS(CLEAN_DATA!$H$2:$H$67,$A11,CLEAN_DATA!$G$2:$G$67,F$1)</f>
        <v>0</v>
      </c>
      <c r="G11" s="32">
        <f>COUNTIFS(CLEAN_DATA!$H$2:$H$67,$A11,CLEAN_DATA!$G$2:$G$67,G$1)</f>
        <v>1</v>
      </c>
    </row>
    <row r="12" spans="1:7" ht="21" x14ac:dyDescent="0.4">
      <c r="A12" s="36" t="s">
        <v>143</v>
      </c>
      <c r="B12" s="58">
        <f>SUBTOTAL(109,Table2[Total Leads])</f>
        <v>66</v>
      </c>
      <c r="C12" s="58">
        <f>SUBTOTAL(109,Table2[New])</f>
        <v>20</v>
      </c>
      <c r="D12" s="58">
        <f>SUBTOTAL(109,Table2[Follow-up])</f>
        <v>17</v>
      </c>
      <c r="E12" s="58">
        <f>SUBTOTAL(109,Table2[Pending])</f>
        <v>10</v>
      </c>
      <c r="F12" s="58">
        <f>SUBTOTAL(109,Table2[Converted])</f>
        <v>6</v>
      </c>
      <c r="G12" s="58">
        <f>SUBTOTAL(109,Table2[Not Interested])</f>
        <v>13</v>
      </c>
    </row>
    <row r="20" spans="4:8" x14ac:dyDescent="0.3">
      <c r="H20" s="13"/>
    </row>
    <row r="21" spans="4:8" x14ac:dyDescent="0.3">
      <c r="D21" s="13"/>
      <c r="E21" s="13"/>
      <c r="F21" s="13"/>
      <c r="G21" s="13"/>
      <c r="H21" s="16"/>
    </row>
    <row r="22" spans="4:8" x14ac:dyDescent="0.3">
      <c r="D22" s="24"/>
      <c r="E22" s="17"/>
      <c r="F22" s="17"/>
      <c r="G22" s="17"/>
      <c r="H22" s="11"/>
    </row>
    <row r="23" spans="4:8" x14ac:dyDescent="0.3">
      <c r="D23" s="23"/>
      <c r="E23" s="14"/>
      <c r="F23" s="14"/>
      <c r="G23" s="14"/>
      <c r="H23" s="11"/>
    </row>
    <row r="24" spans="4:8" x14ac:dyDescent="0.3">
      <c r="D24" s="23"/>
      <c r="E24" s="14"/>
      <c r="F24" s="14"/>
      <c r="G24" s="14"/>
      <c r="H24" s="11"/>
    </row>
    <row r="25" spans="4:8" x14ac:dyDescent="0.3">
      <c r="D25" s="23"/>
      <c r="E25" s="14"/>
      <c r="F25" s="14"/>
      <c r="G25" s="14"/>
      <c r="H25" s="11"/>
    </row>
    <row r="26" spans="4:8" x14ac:dyDescent="0.3">
      <c r="D26" s="23"/>
      <c r="E26" s="14"/>
      <c r="F26" s="14"/>
      <c r="G26" s="14"/>
      <c r="H26" s="11"/>
    </row>
    <row r="27" spans="4:8" x14ac:dyDescent="0.3">
      <c r="D27" s="23"/>
      <c r="E27" s="14"/>
      <c r="F27" s="14"/>
      <c r="G27" s="14"/>
      <c r="H27" s="11"/>
    </row>
    <row r="28" spans="4:8" x14ac:dyDescent="0.3">
      <c r="D28" s="23"/>
      <c r="E28" s="14"/>
      <c r="F28" s="14"/>
      <c r="G28" s="14"/>
      <c r="H28" s="11"/>
    </row>
    <row r="29" spans="4:8" x14ac:dyDescent="0.3">
      <c r="D29" s="23"/>
      <c r="E29" s="14"/>
      <c r="F29" s="14"/>
      <c r="G29" s="14"/>
      <c r="H29" s="11"/>
    </row>
    <row r="30" spans="4:8" x14ac:dyDescent="0.3">
      <c r="D30" s="23"/>
      <c r="E30" s="14"/>
      <c r="F30" s="14"/>
      <c r="G30" s="14"/>
      <c r="H30" s="12"/>
    </row>
    <row r="31" spans="4:8" x14ac:dyDescent="0.3">
      <c r="D31" s="25"/>
      <c r="E31" s="15"/>
      <c r="F31" s="15"/>
      <c r="G31" s="1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CE09-2788-43E9-A216-BC823305E240}">
  <dimension ref="A1:I30"/>
  <sheetViews>
    <sheetView workbookViewId="0">
      <selection activeCell="B6" sqref="B6"/>
    </sheetView>
  </sheetViews>
  <sheetFormatPr defaultRowHeight="14.4" x14ac:dyDescent="0.3"/>
  <cols>
    <col min="1" max="1" width="39.21875" bestFit="1" customWidth="1"/>
    <col min="2" max="2" width="16" style="5" bestFit="1" customWidth="1"/>
    <col min="3" max="3" width="21" bestFit="1" customWidth="1"/>
    <col min="4" max="4" width="20.77734375" bestFit="1" customWidth="1"/>
    <col min="5" max="5" width="19.21875" bestFit="1" customWidth="1"/>
    <col min="6" max="6" width="19.77734375" bestFit="1" customWidth="1"/>
    <col min="7" max="7" width="26.6640625" bestFit="1" customWidth="1"/>
    <col min="8" max="8" width="26.44140625" style="41" bestFit="1" customWidth="1"/>
    <col min="9" max="9" width="20.77734375" bestFit="1" customWidth="1"/>
  </cols>
  <sheetData>
    <row r="1" spans="1:9" s="8" customFormat="1" ht="27" customHeight="1" x14ac:dyDescent="0.3">
      <c r="A1" s="37" t="s">
        <v>138</v>
      </c>
      <c r="B1" s="37" t="s">
        <v>139</v>
      </c>
      <c r="E1" s="38" t="s">
        <v>133</v>
      </c>
      <c r="F1" s="39" t="s">
        <v>134</v>
      </c>
      <c r="G1" s="39" t="s">
        <v>140</v>
      </c>
      <c r="H1" s="40" t="s">
        <v>135</v>
      </c>
    </row>
    <row r="2" spans="1:9" ht="21" x14ac:dyDescent="0.3">
      <c r="A2" s="26" t="s">
        <v>134</v>
      </c>
      <c r="B2" s="27">
        <f>COUNTA(CLEAN_DATA!$A$2:$A$67)</f>
        <v>66</v>
      </c>
      <c r="E2" s="42" t="s">
        <v>13</v>
      </c>
      <c r="F2" s="27">
        <f>COUNTIF(CLEAN_DATA!$F$2:$F$67,E2)</f>
        <v>15</v>
      </c>
      <c r="G2" s="27">
        <f>COUNTIFS(CLEAN_DATA!$F$2:$F$67,E2,CLEAN_DATA!$G$2:$G$67,"Converted")</f>
        <v>1</v>
      </c>
      <c r="H2" s="43">
        <f t="shared" ref="H2:H6" si="0">G2/F2</f>
        <v>6.6666666666666666E-2</v>
      </c>
    </row>
    <row r="3" spans="1:9" ht="21" x14ac:dyDescent="0.3">
      <c r="A3" s="26" t="s">
        <v>140</v>
      </c>
      <c r="B3" s="27">
        <f>COUNTIF(CLEAN_DATA!$G$2:$G$67,"Converted")</f>
        <v>6</v>
      </c>
      <c r="E3" s="42" t="s">
        <v>19</v>
      </c>
      <c r="F3" s="27">
        <f>COUNTIF(CLEAN_DATA!$F$2:$F$67,E3)</f>
        <v>16</v>
      </c>
      <c r="G3" s="27">
        <f>COUNTIFS(CLEAN_DATA!$F$2:$F$67,E3,CLEAN_DATA!$G$2:$G$67,"Converted")</f>
        <v>2</v>
      </c>
      <c r="H3" s="43">
        <f t="shared" si="0"/>
        <v>0.125</v>
      </c>
    </row>
    <row r="4" spans="1:9" ht="21" x14ac:dyDescent="0.4">
      <c r="A4" s="26" t="s">
        <v>141</v>
      </c>
      <c r="B4" s="57">
        <f>B3/B2</f>
        <v>9.0909090909090912E-2</v>
      </c>
      <c r="E4" s="42" t="s">
        <v>41</v>
      </c>
      <c r="F4" s="27">
        <f>COUNTIF(CLEAN_DATA!$F$2:$F$67,E4)</f>
        <v>13</v>
      </c>
      <c r="G4" s="27">
        <f>COUNTIFS(CLEAN_DATA!$F$2:$F$67,E4,CLEAN_DATA!$G$2:$G$67,"Converted")</f>
        <v>1</v>
      </c>
      <c r="H4" s="43">
        <f t="shared" si="0"/>
        <v>7.6923076923076927E-2</v>
      </c>
    </row>
    <row r="5" spans="1:9" ht="21" x14ac:dyDescent="0.3">
      <c r="E5" s="42" t="s">
        <v>46</v>
      </c>
      <c r="F5" s="27">
        <f>COUNTIF(CLEAN_DATA!$F$2:$F$67,E5)</f>
        <v>11</v>
      </c>
      <c r="G5" s="27">
        <f>COUNTIFS(CLEAN_DATA!$F$2:$F$67,E5,CLEAN_DATA!$G$2:$G$67,"Converted")</f>
        <v>1</v>
      </c>
      <c r="H5" s="43">
        <f t="shared" si="0"/>
        <v>9.0909090909090912E-2</v>
      </c>
    </row>
    <row r="6" spans="1:9" ht="21" x14ac:dyDescent="0.4">
      <c r="E6" s="44" t="s">
        <v>54</v>
      </c>
      <c r="F6" s="45">
        <f>COUNTIF(CLEAN_DATA!$F$2:$F$67,E6)</f>
        <v>11</v>
      </c>
      <c r="G6" s="45">
        <f>COUNTIFS(CLEAN_DATA!$F$2:$F$67,E6,CLEAN_DATA!$G$2:$G$67,"Converted")</f>
        <v>1</v>
      </c>
      <c r="H6" s="46">
        <f t="shared" si="0"/>
        <v>9.0909090909090912E-2</v>
      </c>
    </row>
    <row r="7" spans="1:9" ht="21" x14ac:dyDescent="0.3">
      <c r="A7" s="94" t="s">
        <v>159</v>
      </c>
      <c r="E7" s="44" t="s">
        <v>143</v>
      </c>
      <c r="F7" s="55">
        <f>SUBTOTAL(109,Table6[Total Leads])</f>
        <v>66</v>
      </c>
      <c r="G7" s="55">
        <f>SUBTOTAL(109,Table6[Converted Leads])</f>
        <v>6</v>
      </c>
      <c r="H7" s="56">
        <f>G7/F7</f>
        <v>9.0909090909090912E-2</v>
      </c>
    </row>
    <row r="9" spans="1:9" ht="22.2" customHeight="1" x14ac:dyDescent="0.3">
      <c r="A9" s="47" t="s">
        <v>142</v>
      </c>
      <c r="B9" s="47" t="s">
        <v>134</v>
      </c>
      <c r="C9" s="47" t="s">
        <v>140</v>
      </c>
      <c r="D9" s="48" t="s">
        <v>135</v>
      </c>
      <c r="F9" s="47" t="s">
        <v>8</v>
      </c>
      <c r="G9" s="47" t="s">
        <v>134</v>
      </c>
      <c r="H9" s="47" t="s">
        <v>140</v>
      </c>
      <c r="I9" s="48" t="s">
        <v>135</v>
      </c>
    </row>
    <row r="10" spans="1:9" ht="15.6" x14ac:dyDescent="0.3">
      <c r="A10" s="49" t="s">
        <v>11</v>
      </c>
      <c r="B10" s="50">
        <f>COUNTIF(CLEAN_DATA!$D$2:$D$67,A10)</f>
        <v>29</v>
      </c>
      <c r="C10" s="50">
        <f>COUNTIFS(CLEAN_DATA!$D$2:$D$67,A10,CLEAN_DATA!$G$2:$G$67,"Converted")</f>
        <v>2</v>
      </c>
      <c r="D10" s="51">
        <f>C10/B10</f>
        <v>6.8965517241379309E-2</v>
      </c>
      <c r="F10" s="52" t="s">
        <v>16</v>
      </c>
      <c r="G10" s="53">
        <f>COUNTIF(CLEAN_DATA!$I$2:$I$67,F10)</f>
        <v>14</v>
      </c>
      <c r="H10" s="53">
        <f>COUNTIFS(CLEAN_DATA!$I$2:$I$67,F10,CLEAN_DATA!$G$2:$G$67,"Converted")</f>
        <v>1</v>
      </c>
      <c r="I10" s="54">
        <f>H10/G10</f>
        <v>7.1428571428571425E-2</v>
      </c>
    </row>
    <row r="11" spans="1:9" ht="15.6" x14ac:dyDescent="0.3">
      <c r="A11" s="49" t="s">
        <v>49</v>
      </c>
      <c r="B11" s="50">
        <f>COUNTIF(CLEAN_DATA!$D$2:$D$67,A11)</f>
        <v>1</v>
      </c>
      <c r="C11" s="50">
        <f>COUNTIFS(CLEAN_DATA!$D$2:$D$67,A11,CLEAN_DATA!$G$2:$G$67,"Converted")</f>
        <v>0</v>
      </c>
      <c r="D11" s="51">
        <f>C11/B11</f>
        <v>0</v>
      </c>
      <c r="F11" s="52" t="s">
        <v>22</v>
      </c>
      <c r="G11" s="53">
        <f>COUNTIF(CLEAN_DATA!$I$2:$I$67,F11)</f>
        <v>13</v>
      </c>
      <c r="H11" s="53">
        <f>COUNTIFS(CLEAN_DATA!$I$2:$I$67,F11,CLEAN_DATA!$G$2:$G$67,"Converted")</f>
        <v>2</v>
      </c>
      <c r="I11" s="54">
        <f>H11/G11</f>
        <v>0.15384615384615385</v>
      </c>
    </row>
    <row r="12" spans="1:9" ht="15.6" x14ac:dyDescent="0.3">
      <c r="A12" s="49" t="s">
        <v>56</v>
      </c>
      <c r="B12" s="50">
        <f>COUNTIF(CLEAN_DATA!$D$2:$D$67,A12)</f>
        <v>1</v>
      </c>
      <c r="C12" s="50">
        <f>COUNTIFS(CLEAN_DATA!$D$2:$D$67,A12,CLEAN_DATA!$G$2:$G$67,"Converted")</f>
        <v>0</v>
      </c>
      <c r="D12" s="51">
        <f>C12/B12</f>
        <v>0</v>
      </c>
      <c r="F12" s="52" t="s">
        <v>27</v>
      </c>
      <c r="G12" s="53">
        <f>COUNTIF(CLEAN_DATA!$I$2:$I$67,F12)</f>
        <v>13</v>
      </c>
      <c r="H12" s="53">
        <f>COUNTIFS(CLEAN_DATA!$I$2:$I$67,F12,CLEAN_DATA!$G$2:$G$67,"Converted")</f>
        <v>2</v>
      </c>
      <c r="I12" s="54">
        <f>H12/G12</f>
        <v>0.15384615384615385</v>
      </c>
    </row>
    <row r="13" spans="1:9" ht="15.6" x14ac:dyDescent="0.3">
      <c r="A13" s="49" t="s">
        <v>59</v>
      </c>
      <c r="B13" s="50">
        <f>COUNTIF(CLEAN_DATA!$D$2:$D$67,A13)</f>
        <v>1</v>
      </c>
      <c r="C13" s="50">
        <f>COUNTIFS(CLEAN_DATA!$D$2:$D$67,A13,CLEAN_DATA!$G$2:$G$67,"Converted")</f>
        <v>0</v>
      </c>
      <c r="D13" s="51">
        <f>C13/B13</f>
        <v>0</v>
      </c>
      <c r="F13" s="52" t="s">
        <v>32</v>
      </c>
      <c r="G13" s="53">
        <f>COUNTIF(CLEAN_DATA!$I$2:$I$67,F13)</f>
        <v>13</v>
      </c>
      <c r="H13" s="53">
        <f>COUNTIFS(CLEAN_DATA!$I$2:$I$67,F13,CLEAN_DATA!$G$2:$G$67,"Converted")</f>
        <v>1</v>
      </c>
      <c r="I13" s="54">
        <f>H13/G13</f>
        <v>7.6923076923076927E-2</v>
      </c>
    </row>
    <row r="14" spans="1:9" ht="15.6" x14ac:dyDescent="0.3">
      <c r="A14" s="49" t="s">
        <v>63</v>
      </c>
      <c r="B14" s="50">
        <f>COUNTIF(CLEAN_DATA!$D$2:$D$67,A14)</f>
        <v>1</v>
      </c>
      <c r="C14" s="50">
        <f>COUNTIFS(CLEAN_DATA!$D$2:$D$67,A14,CLEAN_DATA!$G$2:$G$67,"Converted")</f>
        <v>0</v>
      </c>
      <c r="D14" s="51">
        <f>C14/B14</f>
        <v>0</v>
      </c>
      <c r="F14" s="52" t="s">
        <v>36</v>
      </c>
      <c r="G14" s="53">
        <f>COUNTIF(CLEAN_DATA!$I$2:$I$67,F14)</f>
        <v>13</v>
      </c>
      <c r="H14" s="53">
        <f>COUNTIFS(CLEAN_DATA!$I$2:$I$67,F14,CLEAN_DATA!$G$2:$G$67,"Converted")</f>
        <v>0</v>
      </c>
      <c r="I14" s="54">
        <f>H14/G14</f>
        <v>0</v>
      </c>
    </row>
    <row r="15" spans="1:9" ht="15.6" x14ac:dyDescent="0.3">
      <c r="A15" s="49" t="s">
        <v>66</v>
      </c>
      <c r="B15" s="50">
        <f>COUNTIF(CLEAN_DATA!$D$2:$D$67,A15)</f>
        <v>1</v>
      </c>
      <c r="C15" s="50">
        <f>COUNTIFS(CLEAN_DATA!$D$2:$D$67,A15,CLEAN_DATA!$G$2:$G$67,"Converted")</f>
        <v>0</v>
      </c>
      <c r="D15" s="51">
        <f>C15/B15</f>
        <v>0</v>
      </c>
      <c r="F15" s="53" t="s">
        <v>143</v>
      </c>
      <c r="G15" s="53">
        <f>SUBTOTAL(109,Table9[Total Leads])</f>
        <v>66</v>
      </c>
      <c r="H15" s="53">
        <f>SUBTOTAL(109,Table9[Converted Leads])</f>
        <v>6</v>
      </c>
      <c r="I15" s="54">
        <f>H15/G15</f>
        <v>9.0909090909090912E-2</v>
      </c>
    </row>
    <row r="16" spans="1:9" ht="15.6" x14ac:dyDescent="0.3">
      <c r="A16" s="49" t="s">
        <v>69</v>
      </c>
      <c r="B16" s="50">
        <f>COUNTIF(CLEAN_DATA!$D$2:$D$67,A16)</f>
        <v>1</v>
      </c>
      <c r="C16" s="50">
        <f>COUNTIFS(CLEAN_DATA!$D$2:$D$67,A16,CLEAN_DATA!$G$2:$G$67,"Converted")</f>
        <v>0</v>
      </c>
      <c r="D16" s="51">
        <f>C16/B16</f>
        <v>0</v>
      </c>
    </row>
    <row r="17" spans="1:4" ht="15.6" x14ac:dyDescent="0.3">
      <c r="A17" s="49" t="s">
        <v>74</v>
      </c>
      <c r="B17" s="50">
        <f>COUNTIF(CLEAN_DATA!$D$2:$D$67,A17)</f>
        <v>1</v>
      </c>
      <c r="C17" s="50">
        <f>COUNTIFS(CLEAN_DATA!$D$2:$D$67,A17,CLEAN_DATA!$G$2:$G$67,"Converted")</f>
        <v>1</v>
      </c>
      <c r="D17" s="51">
        <f>C17/B17</f>
        <v>1</v>
      </c>
    </row>
    <row r="18" spans="1:4" ht="15.6" x14ac:dyDescent="0.3">
      <c r="A18" s="49" t="s">
        <v>83</v>
      </c>
      <c r="B18" s="50">
        <f>COUNTIF(CLEAN_DATA!$D$2:$D$67,A18)</f>
        <v>1</v>
      </c>
      <c r="C18" s="50">
        <f>COUNTIFS(CLEAN_DATA!$D$2:$D$67,A18,CLEAN_DATA!$G$2:$G$67,"Converted")</f>
        <v>0</v>
      </c>
      <c r="D18" s="51">
        <f>C18/B18</f>
        <v>0</v>
      </c>
    </row>
    <row r="19" spans="1:4" ht="15.6" x14ac:dyDescent="0.3">
      <c r="A19" s="49" t="s">
        <v>81</v>
      </c>
      <c r="B19" s="50">
        <f>COUNTIF(CLEAN_DATA!$D$2:$D$67,A19)</f>
        <v>4</v>
      </c>
      <c r="C19" s="50">
        <f>COUNTIFS(CLEAN_DATA!$D$2:$D$67,A19,CLEAN_DATA!$G$2:$G$67,"Converted")</f>
        <v>0</v>
      </c>
      <c r="D19" s="51">
        <f>C19/B19</f>
        <v>0</v>
      </c>
    </row>
    <row r="20" spans="1:4" ht="15.6" x14ac:dyDescent="0.3">
      <c r="A20" s="49" t="s">
        <v>89</v>
      </c>
      <c r="B20" s="50">
        <f>COUNTIF(CLEAN_DATA!$D$2:$D$67,A20)</f>
        <v>3</v>
      </c>
      <c r="C20" s="50">
        <f>COUNTIFS(CLEAN_DATA!$D$2:$D$67,A20,CLEAN_DATA!$G$2:$G$67,"Converted")</f>
        <v>0</v>
      </c>
      <c r="D20" s="51">
        <f>C20/B20</f>
        <v>0</v>
      </c>
    </row>
    <row r="21" spans="1:4" ht="15.6" x14ac:dyDescent="0.3">
      <c r="A21" s="49" t="s">
        <v>91</v>
      </c>
      <c r="B21" s="50">
        <f>COUNTIF(CLEAN_DATA!$D$2:$D$67,A21)</f>
        <v>1</v>
      </c>
      <c r="C21" s="50">
        <f>COUNTIFS(CLEAN_DATA!$D$2:$D$67,A21,CLEAN_DATA!$G$2:$G$67,"Converted")</f>
        <v>1</v>
      </c>
      <c r="D21" s="51">
        <f>C21/B21</f>
        <v>1</v>
      </c>
    </row>
    <row r="22" spans="1:4" ht="15.6" x14ac:dyDescent="0.3">
      <c r="A22" s="49" t="s">
        <v>93</v>
      </c>
      <c r="B22" s="50">
        <f>COUNTIF(CLEAN_DATA!$D$2:$D$67,A22)</f>
        <v>2</v>
      </c>
      <c r="C22" s="50">
        <f>COUNTIFS(CLEAN_DATA!$D$2:$D$67,A22,CLEAN_DATA!$G$2:$G$67,"Converted")</f>
        <v>1</v>
      </c>
      <c r="D22" s="51">
        <f>C22/B22</f>
        <v>0.5</v>
      </c>
    </row>
    <row r="23" spans="1:4" ht="15.6" x14ac:dyDescent="0.3">
      <c r="A23" s="49" t="s">
        <v>96</v>
      </c>
      <c r="B23" s="50">
        <f>COUNTIF(CLEAN_DATA!$D$2:$D$67,A23)</f>
        <v>2</v>
      </c>
      <c r="C23" s="50">
        <f>COUNTIFS(CLEAN_DATA!$D$2:$D$67,A23,CLEAN_DATA!$G$2:$G$67,"Converted")</f>
        <v>0</v>
      </c>
      <c r="D23" s="51">
        <f>C23/B23</f>
        <v>0</v>
      </c>
    </row>
    <row r="24" spans="1:4" ht="15.6" x14ac:dyDescent="0.3">
      <c r="A24" s="49" t="s">
        <v>100</v>
      </c>
      <c r="B24" s="50">
        <f>COUNTIF(CLEAN_DATA!$D$2:$D$67,A24)</f>
        <v>7</v>
      </c>
      <c r="C24" s="50">
        <f>COUNTIFS(CLEAN_DATA!$D$2:$D$67,A24,CLEAN_DATA!$G$2:$G$67,"Converted")</f>
        <v>1</v>
      </c>
      <c r="D24" s="51">
        <f>C24/B24</f>
        <v>0.14285714285714285</v>
      </c>
    </row>
    <row r="25" spans="1:4" ht="15.6" x14ac:dyDescent="0.3">
      <c r="A25" s="49" t="s">
        <v>106</v>
      </c>
      <c r="B25" s="50">
        <f>COUNTIF(CLEAN_DATA!$D$2:$D$67,A25)</f>
        <v>1</v>
      </c>
      <c r="C25" s="50">
        <f>COUNTIFS(CLEAN_DATA!$D$2:$D$67,A25,CLEAN_DATA!$G$2:$G$67,"Converted")</f>
        <v>0</v>
      </c>
      <c r="D25" s="51">
        <f>C25/B25</f>
        <v>0</v>
      </c>
    </row>
    <row r="26" spans="1:4" ht="15.6" x14ac:dyDescent="0.3">
      <c r="A26" s="49" t="s">
        <v>108</v>
      </c>
      <c r="B26" s="50">
        <f>COUNTIF(CLEAN_DATA!$D$2:$D$67,A26)</f>
        <v>2</v>
      </c>
      <c r="C26" s="50">
        <f>COUNTIFS(CLEAN_DATA!$D$2:$D$67,A26,CLEAN_DATA!$G$2:$G$67,"Converted")</f>
        <v>0</v>
      </c>
      <c r="D26" s="51">
        <f>C26/B26</f>
        <v>0</v>
      </c>
    </row>
    <row r="27" spans="1:4" ht="15.6" x14ac:dyDescent="0.3">
      <c r="A27" s="49" t="s">
        <v>112</v>
      </c>
      <c r="B27" s="50">
        <f>COUNTIF(CLEAN_DATA!$D$2:$D$67,A27)</f>
        <v>4</v>
      </c>
      <c r="C27" s="50">
        <f>COUNTIFS(CLEAN_DATA!$D$2:$D$67,A27,CLEAN_DATA!$G$2:$G$67,"Converted")</f>
        <v>0</v>
      </c>
      <c r="D27" s="51">
        <f>C27/B27</f>
        <v>0</v>
      </c>
    </row>
    <row r="28" spans="1:4" ht="15.6" x14ac:dyDescent="0.3">
      <c r="A28" s="49" t="s">
        <v>117</v>
      </c>
      <c r="B28" s="50">
        <f>COUNTIF(CLEAN_DATA!$D$2:$D$67,A28)</f>
        <v>2</v>
      </c>
      <c r="C28" s="50">
        <f>COUNTIFS(CLEAN_DATA!$D$2:$D$67,A28,CLEAN_DATA!$G$2:$G$67,"Converted")</f>
        <v>0</v>
      </c>
      <c r="D28" s="51">
        <f>C28/B28</f>
        <v>0</v>
      </c>
    </row>
    <row r="29" spans="1:4" ht="15.6" x14ac:dyDescent="0.3">
      <c r="A29" s="49" t="s">
        <v>121</v>
      </c>
      <c r="B29" s="50">
        <f>COUNTIF(CLEAN_DATA!$D$2:$D$67,A29)</f>
        <v>1</v>
      </c>
      <c r="C29" s="50">
        <f>COUNTIFS(CLEAN_DATA!$D$2:$D$67,A29,CLEAN_DATA!$G$2:$G$67,"Converted")</f>
        <v>0</v>
      </c>
      <c r="D29" s="51">
        <f>C29/B29</f>
        <v>0</v>
      </c>
    </row>
    <row r="30" spans="1:4" ht="15.6" x14ac:dyDescent="0.3">
      <c r="A30" s="49" t="s">
        <v>143</v>
      </c>
      <c r="B30" s="50">
        <f>SUBTOTAL(109,Table8[Total Leads])</f>
        <v>66</v>
      </c>
      <c r="C30" s="50">
        <f>SUBTOTAL(109,Table8[Converted Leads])</f>
        <v>6</v>
      </c>
      <c r="D30" s="51">
        <f>C30/B30</f>
        <v>9.0909090909090912E-2</v>
      </c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3DDC8-F649-4AC0-A2B3-FB48ABECB2D8}">
  <dimension ref="A1:O37"/>
  <sheetViews>
    <sheetView workbookViewId="0">
      <selection activeCell="G26" sqref="G26:H31"/>
    </sheetView>
  </sheetViews>
  <sheetFormatPr defaultRowHeight="15.6" x14ac:dyDescent="0.3"/>
  <cols>
    <col min="1" max="1" width="49.5546875" style="49" bestFit="1" customWidth="1"/>
    <col min="2" max="2" width="17.33203125" style="49" bestFit="1" customWidth="1"/>
    <col min="3" max="3" width="23.21875" style="49" bestFit="1" customWidth="1"/>
    <col min="4" max="4" width="22.88671875" style="49" bestFit="1" customWidth="1"/>
    <col min="5" max="5" width="8.88671875" style="49"/>
    <col min="6" max="6" width="9.6640625" style="49" bestFit="1" customWidth="1"/>
    <col min="7" max="7" width="35" style="49" bestFit="1" customWidth="1"/>
    <col min="8" max="8" width="14.88671875" style="49" bestFit="1" customWidth="1"/>
    <col min="9" max="16384" width="8.88671875" style="49"/>
  </cols>
  <sheetData>
    <row r="1" spans="1:8" s="50" customFormat="1" ht="26.4" customHeight="1" x14ac:dyDescent="0.3">
      <c r="A1" s="59" t="s">
        <v>142</v>
      </c>
      <c r="B1" s="62" t="s">
        <v>134</v>
      </c>
      <c r="C1" s="62" t="s">
        <v>140</v>
      </c>
      <c r="D1" s="63" t="s">
        <v>135</v>
      </c>
    </row>
    <row r="2" spans="1:8" x14ac:dyDescent="0.3">
      <c r="A2" s="66" t="s">
        <v>11</v>
      </c>
      <c r="B2" s="67">
        <f>COUNTIF(CLEAN_DATA!$D$2:$D$67,A2)</f>
        <v>29</v>
      </c>
      <c r="C2" s="67">
        <f>COUNTIFS(CLEAN_DATA!$D$2:$D$67,A2,CLEAN_DATA!$G$2:$G$67,"Converted")</f>
        <v>2</v>
      </c>
      <c r="D2" s="68">
        <f>C2/B2</f>
        <v>6.8965517241379309E-2</v>
      </c>
    </row>
    <row r="3" spans="1:8" x14ac:dyDescent="0.3">
      <c r="A3" s="69" t="s">
        <v>49</v>
      </c>
      <c r="B3" s="67">
        <f>COUNTIF(CLEAN_DATA!$D$2:$D$67,A3)</f>
        <v>1</v>
      </c>
      <c r="C3" s="67">
        <f>COUNTIFS(CLEAN_DATA!$D$2:$D$67,A3,CLEAN_DATA!$G$2:$G$67,"Converted")</f>
        <v>0</v>
      </c>
      <c r="D3" s="68">
        <f t="shared" ref="D3:D21" si="0">C3/B3</f>
        <v>0</v>
      </c>
      <c r="G3" s="73" t="s">
        <v>146</v>
      </c>
      <c r="H3"/>
    </row>
    <row r="4" spans="1:8" x14ac:dyDescent="0.3">
      <c r="A4" s="66" t="s">
        <v>56</v>
      </c>
      <c r="B4" s="67">
        <f>COUNTIF(CLEAN_DATA!$D$2:$D$67,A4)</f>
        <v>1</v>
      </c>
      <c r="C4" s="67">
        <f>COUNTIFS(CLEAN_DATA!$D$2:$D$67,A4,CLEAN_DATA!$G$2:$G$67,"Converted")</f>
        <v>0</v>
      </c>
      <c r="D4" s="68">
        <f t="shared" si="0"/>
        <v>0</v>
      </c>
      <c r="F4"/>
      <c r="G4"/>
      <c r="H4"/>
    </row>
    <row r="5" spans="1:8" ht="19.8" customHeight="1" x14ac:dyDescent="0.3">
      <c r="A5" s="69" t="s">
        <v>59</v>
      </c>
      <c r="B5" s="67">
        <f>COUNTIF(CLEAN_DATA!$D$2:$D$67,A5)</f>
        <v>1</v>
      </c>
      <c r="C5" s="67">
        <f>COUNTIFS(CLEAN_DATA!$D$2:$D$67,A5,CLEAN_DATA!$G$2:$G$67,"Converted")</f>
        <v>0</v>
      </c>
      <c r="D5" s="68">
        <f t="shared" si="0"/>
        <v>0</v>
      </c>
      <c r="F5" s="6" t="s">
        <v>145</v>
      </c>
      <c r="G5" s="6" t="s">
        <v>142</v>
      </c>
      <c r="H5" s="6" t="s">
        <v>134</v>
      </c>
    </row>
    <row r="6" spans="1:8" x14ac:dyDescent="0.3">
      <c r="A6" s="66" t="s">
        <v>63</v>
      </c>
      <c r="B6" s="67">
        <f>COUNTIF(CLEAN_DATA!$D$2:$D$67,A6)</f>
        <v>1</v>
      </c>
      <c r="C6" s="67">
        <f>COUNTIFS(CLEAN_DATA!$D$2:$D$67,A6,CLEAN_DATA!$G$2:$G$67,"Converted")</f>
        <v>0</v>
      </c>
      <c r="D6" s="68">
        <f t="shared" si="0"/>
        <v>0</v>
      </c>
      <c r="F6" s="49">
        <v>1</v>
      </c>
      <c r="G6" s="49" t="str">
        <f>INDEX($A$2:$A$21,_xlfn.AGGREGATE(15,6,(ROW($B$2:$B$21)-ROW($B$2)+1)/($B$2:$B$21=H6),COUNTIF($H$5:H5,H6)+1))</f>
        <v>General Education Counselling</v>
      </c>
      <c r="H6" s="49">
        <f>LARGE($B$2:$B$21,ROWS($H$6:H6))</f>
        <v>29</v>
      </c>
    </row>
    <row r="7" spans="1:8" x14ac:dyDescent="0.3">
      <c r="A7" s="69" t="s">
        <v>66</v>
      </c>
      <c r="B7" s="67">
        <f>COUNTIF(CLEAN_DATA!$D$2:$D$67,A7)</f>
        <v>1</v>
      </c>
      <c r="C7" s="67">
        <f>COUNTIFS(CLEAN_DATA!$D$2:$D$67,A7,CLEAN_DATA!$G$2:$G$67,"Converted")</f>
        <v>0</v>
      </c>
      <c r="D7" s="68">
        <f t="shared" si="0"/>
        <v>0</v>
      </c>
      <c r="F7" s="49">
        <v>2</v>
      </c>
      <c r="G7" s="49" t="str">
        <f>INDEX($A$2:$A$21,_xlfn.AGGREGATE(15,6,(ROW($B$2:$B$21)-ROW($B$2)+1)/($B$2:$B$21=H7),COUNTIF($H$5:H6,H7)+1))</f>
        <v>Bachelor of Hospital Administration</v>
      </c>
      <c r="H7" s="49">
        <f>LARGE($B$2:$B$21,ROWS($H$6:H7))</f>
        <v>7</v>
      </c>
    </row>
    <row r="8" spans="1:8" x14ac:dyDescent="0.3">
      <c r="A8" s="66" t="s">
        <v>69</v>
      </c>
      <c r="B8" s="67">
        <f>COUNTIF(CLEAN_DATA!$D$2:$D$67,A8)</f>
        <v>1</v>
      </c>
      <c r="C8" s="67">
        <f>COUNTIFS(CLEAN_DATA!$D$2:$D$67,A8,CLEAN_DATA!$G$2:$G$67,"Converted")</f>
        <v>0</v>
      </c>
      <c r="D8" s="68">
        <f t="shared" si="0"/>
        <v>0</v>
      </c>
      <c r="F8" s="49">
        <v>3</v>
      </c>
      <c r="G8" s="49" t="str">
        <f>INDEX($A$2:$A$21,_xlfn.AGGREGATE(15,6,(ROW($B$2:$B$21)-ROW($B$2)+1)/($B$2:$B$21=H8),COUNTIF($H$5:H7,H8)+1))</f>
        <v>Fashion Design</v>
      </c>
      <c r="H8" s="49">
        <f>LARGE($B$2:$B$21,ROWS($H$6:H8))</f>
        <v>4</v>
      </c>
    </row>
    <row r="9" spans="1:8" x14ac:dyDescent="0.3">
      <c r="A9" s="69" t="s">
        <v>74</v>
      </c>
      <c r="B9" s="67">
        <f>COUNTIF(CLEAN_DATA!$D$2:$D$67,A9)</f>
        <v>1</v>
      </c>
      <c r="C9" s="67">
        <f>COUNTIFS(CLEAN_DATA!$D$2:$D$67,A9,CLEAN_DATA!$G$2:$G$67,"Converted")</f>
        <v>1</v>
      </c>
      <c r="D9" s="68">
        <f t="shared" si="0"/>
        <v>1</v>
      </c>
      <c r="F9" s="49">
        <v>4</v>
      </c>
      <c r="G9" s="49" t="str">
        <f>INDEX($A$2:$A$21,_xlfn.AGGREGATE(15,6,(ROW($B$2:$B$21)-ROW($B$2)+1)/($B$2:$B$21=H9),COUNTIF($H$5:H8,H9)+1))</f>
        <v>Bachelor of Architecture</v>
      </c>
      <c r="H9" s="49">
        <f>LARGE($B$2:$B$21,ROWS($H$6:H9))</f>
        <v>4</v>
      </c>
    </row>
    <row r="10" spans="1:8" x14ac:dyDescent="0.3">
      <c r="A10" s="66" t="s">
        <v>83</v>
      </c>
      <c r="B10" s="67">
        <f>COUNTIF(CLEAN_DATA!$D$2:$D$67,A10)</f>
        <v>1</v>
      </c>
      <c r="C10" s="67">
        <f>COUNTIFS(CLEAN_DATA!$D$2:$D$67,A10,CLEAN_DATA!$G$2:$G$67,"Converted")</f>
        <v>0</v>
      </c>
      <c r="D10" s="68">
        <f t="shared" si="0"/>
        <v>0</v>
      </c>
      <c r="F10" s="49">
        <v>5</v>
      </c>
      <c r="G10" s="49" t="str">
        <f>INDEX($A$2:$A$21,_xlfn.AGGREGATE(15,6,(ROW($B$2:$B$21)-ROW($B$2)+1)/($B$2:$B$21=H10),COUNTIF($H$5:H9,H10)+1))</f>
        <v>Bachelor of Design</v>
      </c>
      <c r="H10" s="49">
        <f>LARGE($B$2:$B$21,ROWS($H$6:H10))</f>
        <v>3</v>
      </c>
    </row>
    <row r="11" spans="1:8" x14ac:dyDescent="0.3">
      <c r="A11" s="69" t="s">
        <v>81</v>
      </c>
      <c r="B11" s="67">
        <f>COUNTIF(CLEAN_DATA!$D$2:$D$67,A11)</f>
        <v>4</v>
      </c>
      <c r="C11" s="67">
        <f>COUNTIFS(CLEAN_DATA!$D$2:$D$67,A11,CLEAN_DATA!$G$2:$G$67,"Converted")</f>
        <v>0</v>
      </c>
      <c r="D11" s="68">
        <f t="shared" si="0"/>
        <v>0</v>
      </c>
    </row>
    <row r="12" spans="1:8" x14ac:dyDescent="0.3">
      <c r="A12" s="66" t="s">
        <v>89</v>
      </c>
      <c r="B12" s="67">
        <f>COUNTIF(CLEAN_DATA!$D$2:$D$67,A12)</f>
        <v>3</v>
      </c>
      <c r="C12" s="67">
        <f>COUNTIFS(CLEAN_DATA!$D$2:$D$67,A12,CLEAN_DATA!$G$2:$G$67,"Converted")</f>
        <v>0</v>
      </c>
      <c r="D12" s="68">
        <f t="shared" si="0"/>
        <v>0</v>
      </c>
    </row>
    <row r="13" spans="1:8" x14ac:dyDescent="0.3">
      <c r="A13" s="69" t="s">
        <v>91</v>
      </c>
      <c r="B13" s="67">
        <f>COUNTIF(CLEAN_DATA!$D$2:$D$67,A13)</f>
        <v>1</v>
      </c>
      <c r="C13" s="67">
        <f>COUNTIFS(CLEAN_DATA!$D$2:$D$67,A13,CLEAN_DATA!$G$2:$G$67,"Converted")</f>
        <v>1</v>
      </c>
      <c r="D13" s="68">
        <f t="shared" si="0"/>
        <v>1</v>
      </c>
    </row>
    <row r="14" spans="1:8" x14ac:dyDescent="0.3">
      <c r="A14" s="66" t="s">
        <v>93</v>
      </c>
      <c r="B14" s="67">
        <f>COUNTIF(CLEAN_DATA!$D$2:$D$67,A14)</f>
        <v>2</v>
      </c>
      <c r="C14" s="67">
        <f>COUNTIFS(CLEAN_DATA!$D$2:$D$67,A14,CLEAN_DATA!$G$2:$G$67,"Converted")</f>
        <v>1</v>
      </c>
      <c r="D14" s="68">
        <f t="shared" si="0"/>
        <v>0.5</v>
      </c>
    </row>
    <row r="15" spans="1:8" x14ac:dyDescent="0.3">
      <c r="A15" s="69" t="s">
        <v>96</v>
      </c>
      <c r="B15" s="67">
        <f>COUNTIF(CLEAN_DATA!$D$2:$D$67,A15)</f>
        <v>2</v>
      </c>
      <c r="C15" s="67">
        <f>COUNTIFS(CLEAN_DATA!$D$2:$D$67,A15,CLEAN_DATA!$G$2:$G$67,"Converted")</f>
        <v>0</v>
      </c>
      <c r="D15" s="68">
        <f t="shared" si="0"/>
        <v>0</v>
      </c>
    </row>
    <row r="16" spans="1:8" x14ac:dyDescent="0.3">
      <c r="A16" s="66" t="s">
        <v>100</v>
      </c>
      <c r="B16" s="67">
        <f>COUNTIF(CLEAN_DATA!$D$2:$D$67,A16)</f>
        <v>7</v>
      </c>
      <c r="C16" s="67">
        <f>COUNTIFS(CLEAN_DATA!$D$2:$D$67,A16,CLEAN_DATA!$G$2:$G$67,"Converted")</f>
        <v>1</v>
      </c>
      <c r="D16" s="68">
        <f t="shared" si="0"/>
        <v>0.14285714285714285</v>
      </c>
    </row>
    <row r="17" spans="1:8" x14ac:dyDescent="0.3">
      <c r="A17" s="69" t="s">
        <v>106</v>
      </c>
      <c r="B17" s="67">
        <f>COUNTIF(CLEAN_DATA!$D$2:$D$67,A17)</f>
        <v>1</v>
      </c>
      <c r="C17" s="67">
        <f>COUNTIFS(CLEAN_DATA!$D$2:$D$67,A17,CLEAN_DATA!$G$2:$G$67,"Converted")</f>
        <v>0</v>
      </c>
      <c r="D17" s="68">
        <f t="shared" si="0"/>
        <v>0</v>
      </c>
    </row>
    <row r="18" spans="1:8" x14ac:dyDescent="0.3">
      <c r="A18" s="66" t="s">
        <v>108</v>
      </c>
      <c r="B18" s="67">
        <f>COUNTIF(CLEAN_DATA!$D$2:$D$67,A18)</f>
        <v>2</v>
      </c>
      <c r="C18" s="67">
        <f>COUNTIFS(CLEAN_DATA!$D$2:$D$67,A18,CLEAN_DATA!$G$2:$G$67,"Converted")</f>
        <v>0</v>
      </c>
      <c r="D18" s="68">
        <f t="shared" si="0"/>
        <v>0</v>
      </c>
    </row>
    <row r="19" spans="1:8" x14ac:dyDescent="0.3">
      <c r="A19" s="69" t="s">
        <v>112</v>
      </c>
      <c r="B19" s="67">
        <f>COUNTIF(CLEAN_DATA!$D$2:$D$67,A19)</f>
        <v>4</v>
      </c>
      <c r="C19" s="67">
        <f>COUNTIFS(CLEAN_DATA!$D$2:$D$67,A19,CLEAN_DATA!$G$2:$G$67,"Converted")</f>
        <v>0</v>
      </c>
      <c r="D19" s="68">
        <f t="shared" si="0"/>
        <v>0</v>
      </c>
    </row>
    <row r="20" spans="1:8" x14ac:dyDescent="0.3">
      <c r="A20" s="66" t="s">
        <v>117</v>
      </c>
      <c r="B20" s="67">
        <f>COUNTIF(CLEAN_DATA!$D$2:$D$67,A20)</f>
        <v>2</v>
      </c>
      <c r="C20" s="67">
        <f>COUNTIFS(CLEAN_DATA!$D$2:$D$67,A20,CLEAN_DATA!$G$2:$G$67,"Converted")</f>
        <v>0</v>
      </c>
      <c r="D20" s="68">
        <f t="shared" si="0"/>
        <v>0</v>
      </c>
    </row>
    <row r="21" spans="1:8" x14ac:dyDescent="0.3">
      <c r="A21" s="70" t="s">
        <v>121</v>
      </c>
      <c r="B21" s="71">
        <f>COUNTIF(CLEAN_DATA!$D$2:$D$67,A21)</f>
        <v>1</v>
      </c>
      <c r="C21" s="71">
        <f>COUNTIFS(CLEAN_DATA!$D$2:$D$67,A21,CLEAN_DATA!$G$2:$G$67,"Converted")</f>
        <v>0</v>
      </c>
      <c r="D21" s="72">
        <f t="shared" si="0"/>
        <v>0</v>
      </c>
    </row>
    <row r="22" spans="1:8" x14ac:dyDescent="0.3">
      <c r="A22" s="60" t="s">
        <v>143</v>
      </c>
      <c r="B22" s="64">
        <f>SUBTOTAL(109,Table10[Total Leads])</f>
        <v>66</v>
      </c>
      <c r="C22" s="64">
        <f>SUBTOTAL(109,Table10[Converted Leads])</f>
        <v>6</v>
      </c>
      <c r="D22" s="65">
        <f>C22/B22</f>
        <v>9.0909090909090912E-2</v>
      </c>
    </row>
    <row r="24" spans="1:8" x14ac:dyDescent="0.3">
      <c r="G24" s="73" t="s">
        <v>147</v>
      </c>
    </row>
    <row r="26" spans="1:8" ht="19.8" customHeight="1" x14ac:dyDescent="0.3">
      <c r="A26" s="47" t="s">
        <v>144</v>
      </c>
      <c r="B26" s="47" t="s">
        <v>134</v>
      </c>
      <c r="C26" s="47" t="s">
        <v>140</v>
      </c>
      <c r="D26" s="47" t="s">
        <v>135</v>
      </c>
      <c r="F26" s="74" t="s">
        <v>145</v>
      </c>
      <c r="G26" s="80" t="s">
        <v>144</v>
      </c>
      <c r="H26" s="77" t="s">
        <v>148</v>
      </c>
    </row>
    <row r="27" spans="1:8" x14ac:dyDescent="0.3">
      <c r="A27" s="49" t="s">
        <v>12</v>
      </c>
      <c r="B27" s="50">
        <f>COUNTIF(CLEAN_DATA!$E$2:$E$67,A27)</f>
        <v>7</v>
      </c>
      <c r="C27" s="50">
        <f>COUNTIFS(CLEAN_DATA!$E$2:$E$67,A27,CLEAN_DATA!$G$2:$G$67,"Converted")</f>
        <v>0</v>
      </c>
      <c r="D27" s="51">
        <f>C27/B27</f>
        <v>0</v>
      </c>
      <c r="F27" s="75">
        <v>1</v>
      </c>
      <c r="G27" s="67" t="str">
        <f>INDEX($A$27:$A$36,_xlfn.AGGREGATE(15,6,(ROW($B$27:$B$36)-ROW($B$27)+1)/($B$27:$B$36=H27),COUNTIF($H$26:H26,H27)+1))</f>
        <v>Rajasthan</v>
      </c>
      <c r="H27" s="78">
        <f>LARGE($B$27:$B$36,ROWS($H$27:H27))</f>
        <v>7</v>
      </c>
    </row>
    <row r="28" spans="1:8" x14ac:dyDescent="0.3">
      <c r="A28" s="49" t="s">
        <v>18</v>
      </c>
      <c r="B28" s="50">
        <f>COUNTIF(CLEAN_DATA!$E$2:$E$67,A28)</f>
        <v>7</v>
      </c>
      <c r="C28" s="50">
        <f>COUNTIFS(CLEAN_DATA!$E$2:$E$67,A28,CLEAN_DATA!$G$2:$G$67,"Converted")</f>
        <v>2</v>
      </c>
      <c r="D28" s="51">
        <f t="shared" ref="D28:D36" si="1">C28/B28</f>
        <v>0.2857142857142857</v>
      </c>
      <c r="F28" s="75">
        <v>2</v>
      </c>
      <c r="G28" s="67" t="str">
        <f>INDEX($A$27:$A$36,_xlfn.AGGREGATE(15,6,(ROW($B$27:$B$36)-ROW($B$27)+1)/($B$27:$B$36=H28),COUNTIF($H$26:H27,H28)+1))</f>
        <v>West Bengal</v>
      </c>
      <c r="H28" s="78">
        <f>LARGE($B$27:$B$36,ROWS($H$27:H28))</f>
        <v>7</v>
      </c>
    </row>
    <row r="29" spans="1:8" x14ac:dyDescent="0.3">
      <c r="A29" s="49" t="s">
        <v>24</v>
      </c>
      <c r="B29" s="50">
        <f>COUNTIF(CLEAN_DATA!$E$2:$E$67,A29)</f>
        <v>7</v>
      </c>
      <c r="C29" s="50">
        <f>COUNTIFS(CLEAN_DATA!$E$2:$E$67,A29,CLEAN_DATA!$G$2:$G$67,"Converted")</f>
        <v>2</v>
      </c>
      <c r="D29" s="51">
        <f t="shared" si="1"/>
        <v>0.2857142857142857</v>
      </c>
      <c r="F29" s="75">
        <v>3</v>
      </c>
      <c r="G29" s="67" t="str">
        <f>INDEX($A$27:$A$36,_xlfn.AGGREGATE(15,6,(ROW($B$27:$B$36)-ROW($B$27)+1)/($B$27:$B$36=H29),COUNTIF($H$26:H28,H29)+1))</f>
        <v>Telangana</v>
      </c>
      <c r="H29" s="78">
        <f>LARGE($B$27:$B$36,ROWS($H$27:H29))</f>
        <v>7</v>
      </c>
    </row>
    <row r="30" spans="1:8" x14ac:dyDescent="0.3">
      <c r="A30" s="49" t="s">
        <v>29</v>
      </c>
      <c r="B30" s="50">
        <f>COUNTIF(CLEAN_DATA!$E$2:$E$67,A30)</f>
        <v>7</v>
      </c>
      <c r="C30" s="50">
        <f>COUNTIFS(CLEAN_DATA!$E$2:$E$67,A30,CLEAN_DATA!$G$2:$G$67,"Converted")</f>
        <v>0</v>
      </c>
      <c r="D30" s="51">
        <f t="shared" si="1"/>
        <v>0</v>
      </c>
      <c r="F30" s="75">
        <v>4</v>
      </c>
      <c r="G30" s="67" t="str">
        <f>INDEX($A$27:$A$36,_xlfn.AGGREGATE(15,6,(ROW($B$27:$B$36)-ROW($B$27)+1)/($B$27:$B$36=H30),COUNTIF($H$26:H29,H30)+1))</f>
        <v>Karnataka</v>
      </c>
      <c r="H30" s="78">
        <f>LARGE($B$27:$B$36,ROWS($H$27:H30))</f>
        <v>7</v>
      </c>
    </row>
    <row r="31" spans="1:8" x14ac:dyDescent="0.3">
      <c r="A31" s="49" t="s">
        <v>34</v>
      </c>
      <c r="B31" s="50">
        <f>COUNTIF(CLEAN_DATA!$E$2:$E$67,A31)</f>
        <v>7</v>
      </c>
      <c r="C31" s="50">
        <f>COUNTIFS(CLEAN_DATA!$E$2:$E$67,A31,CLEAN_DATA!$G$2:$G$67,"Converted")</f>
        <v>0</v>
      </c>
      <c r="D31" s="51">
        <f t="shared" si="1"/>
        <v>0</v>
      </c>
      <c r="F31" s="76">
        <v>5</v>
      </c>
      <c r="G31" s="71" t="str">
        <f>INDEX($A$27:$A$36,_xlfn.AGGREGATE(15,6,(ROW($B$27:$B$36)-ROW($B$27)+1)/($B$27:$B$36=H31),COUNTIF($H$26:H30,H31)+1))</f>
        <v>Odisha</v>
      </c>
      <c r="H31" s="79">
        <f>LARGE($B$27:$B$36,ROWS($H$27:H31))</f>
        <v>7</v>
      </c>
    </row>
    <row r="32" spans="1:8" x14ac:dyDescent="0.3">
      <c r="A32" s="49" t="s">
        <v>40</v>
      </c>
      <c r="B32" s="50">
        <f>COUNTIF(CLEAN_DATA!$E$2:$E$67,A32)</f>
        <v>6</v>
      </c>
      <c r="C32" s="50">
        <f>COUNTIFS(CLEAN_DATA!$E$2:$E$67,A32,CLEAN_DATA!$G$2:$G$67,"Converted")</f>
        <v>0</v>
      </c>
      <c r="D32" s="51">
        <f t="shared" si="1"/>
        <v>0</v>
      </c>
    </row>
    <row r="33" spans="1:15" x14ac:dyDescent="0.3">
      <c r="A33" s="49" t="s">
        <v>43</v>
      </c>
      <c r="B33" s="50">
        <f>COUNTIF(CLEAN_DATA!$E$2:$E$67,A33)</f>
        <v>6</v>
      </c>
      <c r="C33" s="50">
        <f>COUNTIFS(CLEAN_DATA!$E$2:$E$67,A33,CLEAN_DATA!$G$2:$G$67,"Converted")</f>
        <v>0</v>
      </c>
      <c r="D33" s="51">
        <f t="shared" si="1"/>
        <v>0</v>
      </c>
      <c r="F33" s="81" t="s">
        <v>149</v>
      </c>
      <c r="G33" s="81"/>
      <c r="H33" s="81"/>
      <c r="I33" s="81"/>
      <c r="J33" s="81"/>
      <c r="K33" s="81"/>
      <c r="L33" s="81"/>
      <c r="M33" s="81"/>
      <c r="N33" s="81"/>
      <c r="O33" s="81"/>
    </row>
    <row r="34" spans="1:15" x14ac:dyDescent="0.3">
      <c r="A34" s="49" t="s">
        <v>45</v>
      </c>
      <c r="B34" s="50">
        <f>COUNTIF(CLEAN_DATA!$E$2:$E$67,A34)</f>
        <v>6</v>
      </c>
      <c r="C34" s="50">
        <f>COUNTIFS(CLEAN_DATA!$E$2:$E$67,A34,CLEAN_DATA!$G$2:$G$67,"Converted")</f>
        <v>1</v>
      </c>
      <c r="D34" s="51">
        <f t="shared" si="1"/>
        <v>0.16666666666666666</v>
      </c>
    </row>
    <row r="35" spans="1:15" x14ac:dyDescent="0.3">
      <c r="A35" s="49" t="s">
        <v>50</v>
      </c>
      <c r="B35" s="50">
        <f>COUNTIF(CLEAN_DATA!$E$2:$E$67,A35)</f>
        <v>6</v>
      </c>
      <c r="C35" s="50">
        <f>COUNTIFS(CLEAN_DATA!$E$2:$E$67,A35,CLEAN_DATA!$G$2:$G$67,"Converted")</f>
        <v>0</v>
      </c>
      <c r="D35" s="51">
        <f t="shared" si="1"/>
        <v>0</v>
      </c>
    </row>
    <row r="36" spans="1:15" x14ac:dyDescent="0.3">
      <c r="A36" s="49" t="s">
        <v>38</v>
      </c>
      <c r="B36" s="50">
        <f>COUNTIF(CLEAN_DATA!$E$2:$E$67,A36)</f>
        <v>7</v>
      </c>
      <c r="C36" s="50">
        <f>COUNTIFS(CLEAN_DATA!$E$2:$E$67,A36,CLEAN_DATA!$G$2:$G$67,"Converted")</f>
        <v>1</v>
      </c>
      <c r="D36" s="51">
        <f t="shared" si="1"/>
        <v>0.14285714285714285</v>
      </c>
    </row>
    <row r="37" spans="1:15" x14ac:dyDescent="0.3">
      <c r="A37" s="49" t="s">
        <v>143</v>
      </c>
      <c r="B37" s="50">
        <f>SUBTOTAL(109,Table11[Total Leads])</f>
        <v>66</v>
      </c>
      <c r="C37" s="50">
        <f>SUBTOTAL(109,Table11[Converted Leads])</f>
        <v>6</v>
      </c>
      <c r="D37" s="51">
        <f>C37/B37</f>
        <v>9.0909090909090912E-2</v>
      </c>
    </row>
  </sheetData>
  <mergeCells count="1">
    <mergeCell ref="F33:O33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48BB2-57B6-4685-A753-D28002F9C342}">
  <dimension ref="A1:B15"/>
  <sheetViews>
    <sheetView workbookViewId="0">
      <selection activeCell="B17" sqref="B17"/>
    </sheetView>
  </sheetViews>
  <sheetFormatPr defaultRowHeight="14.4" x14ac:dyDescent="0.3"/>
  <cols>
    <col min="1" max="1" width="26.44140625" bestFit="1" customWidth="1"/>
    <col min="2" max="2" width="171.77734375" bestFit="1" customWidth="1"/>
  </cols>
  <sheetData>
    <row r="1" spans="1:2" ht="18" x14ac:dyDescent="0.3">
      <c r="A1" s="95" t="s">
        <v>160</v>
      </c>
      <c r="B1" s="95" t="s">
        <v>161</v>
      </c>
    </row>
    <row r="2" spans="1:2" s="4" customFormat="1" ht="25.2" customHeight="1" x14ac:dyDescent="0.3">
      <c r="A2" s="96" t="s">
        <v>162</v>
      </c>
      <c r="B2" s="97" t="s">
        <v>163</v>
      </c>
    </row>
    <row r="3" spans="1:2" ht="18" x14ac:dyDescent="0.3">
      <c r="A3" s="96" t="s">
        <v>164</v>
      </c>
      <c r="B3" s="97" t="s">
        <v>184</v>
      </c>
    </row>
    <row r="4" spans="1:2" ht="18" x14ac:dyDescent="0.3">
      <c r="A4" s="96" t="s">
        <v>165</v>
      </c>
      <c r="B4" s="97" t="s">
        <v>180</v>
      </c>
    </row>
    <row r="5" spans="1:2" ht="18" x14ac:dyDescent="0.3">
      <c r="A5" s="96" t="s">
        <v>166</v>
      </c>
      <c r="B5" s="97" t="s">
        <v>181</v>
      </c>
    </row>
    <row r="6" spans="1:2" ht="18" x14ac:dyDescent="0.3">
      <c r="A6" s="96" t="s">
        <v>167</v>
      </c>
      <c r="B6" s="97" t="s">
        <v>168</v>
      </c>
    </row>
    <row r="7" spans="1:2" ht="18" x14ac:dyDescent="0.3">
      <c r="A7" s="96" t="s">
        <v>169</v>
      </c>
      <c r="B7" s="97" t="s">
        <v>170</v>
      </c>
    </row>
    <row r="8" spans="1:2" ht="18" x14ac:dyDescent="0.3">
      <c r="A8" s="96" t="s">
        <v>171</v>
      </c>
      <c r="B8" s="97" t="s">
        <v>182</v>
      </c>
    </row>
    <row r="9" spans="1:2" ht="18" x14ac:dyDescent="0.3">
      <c r="A9" s="96" t="s">
        <v>135</v>
      </c>
      <c r="B9" s="97" t="s">
        <v>172</v>
      </c>
    </row>
    <row r="10" spans="1:2" ht="18" x14ac:dyDescent="0.3">
      <c r="A10" s="96" t="s">
        <v>173</v>
      </c>
      <c r="B10" s="97" t="s">
        <v>183</v>
      </c>
    </row>
    <row r="11" spans="1:2" ht="36" x14ac:dyDescent="0.3">
      <c r="A11" s="96" t="s">
        <v>174</v>
      </c>
      <c r="B11" s="97" t="s">
        <v>175</v>
      </c>
    </row>
    <row r="12" spans="1:2" ht="18" x14ac:dyDescent="0.3">
      <c r="A12" s="96" t="s">
        <v>176</v>
      </c>
      <c r="B12" s="97" t="s">
        <v>177</v>
      </c>
    </row>
    <row r="13" spans="1:2" ht="36" x14ac:dyDescent="0.3">
      <c r="A13" s="96" t="s">
        <v>178</v>
      </c>
      <c r="B13" s="97" t="s">
        <v>179</v>
      </c>
    </row>
    <row r="14" spans="1:2" ht="36" x14ac:dyDescent="0.3">
      <c r="A14" s="100" t="s">
        <v>185</v>
      </c>
      <c r="B14" s="98" t="s">
        <v>186</v>
      </c>
    </row>
    <row r="15" spans="1:2" ht="18" x14ac:dyDescent="0.3">
      <c r="A15" s="99"/>
      <c r="B15" s="97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D43EA-0DD3-4B91-8161-2635000E0D8C}">
  <sheetPr>
    <pageSetUpPr fitToPage="1"/>
  </sheetPr>
  <dimension ref="A1:V53"/>
  <sheetViews>
    <sheetView tabSelected="1" topLeftCell="A29" zoomScaleNormal="100" workbookViewId="0">
      <selection activeCell="H4" sqref="H4"/>
    </sheetView>
  </sheetViews>
  <sheetFormatPr defaultRowHeight="14.4" x14ac:dyDescent="0.3"/>
  <cols>
    <col min="6" max="6" width="12.5546875" customWidth="1"/>
    <col min="9" max="9" width="14.44140625" bestFit="1" customWidth="1"/>
    <col min="13" max="13" width="13.77734375" bestFit="1" customWidth="1"/>
  </cols>
  <sheetData>
    <row r="1" spans="1:22" ht="23.4" customHeight="1" x14ac:dyDescent="0.3">
      <c r="A1" s="84" t="s">
        <v>150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</row>
    <row r="2" spans="1:22" x14ac:dyDescent="0.3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</row>
    <row r="3" spans="1:22" x14ac:dyDescent="0.3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</row>
    <row r="4" spans="1:22" x14ac:dyDescent="0.3">
      <c r="A4" s="82" t="s">
        <v>134</v>
      </c>
      <c r="B4" s="82"/>
      <c r="C4" s="82">
        <f>'Conversion Analysis'!B2</f>
        <v>66</v>
      </c>
      <c r="D4" s="86"/>
      <c r="E4" s="82" t="s">
        <v>140</v>
      </c>
      <c r="F4" s="82"/>
      <c r="G4" s="82">
        <f>'Conversion Analysis'!B3</f>
        <v>6</v>
      </c>
      <c r="H4" s="86"/>
      <c r="I4" s="82" t="s">
        <v>135</v>
      </c>
      <c r="J4" s="82"/>
      <c r="K4" s="83">
        <f>'Conversion Analysis'!B4</f>
        <v>9.0909090909090912E-2</v>
      </c>
      <c r="L4" s="86"/>
      <c r="M4" s="82" t="s">
        <v>151</v>
      </c>
      <c r="N4" s="82"/>
      <c r="O4" s="82" t="str">
        <f>'Counsellor Analysis'!D10</f>
        <v>Anjali</v>
      </c>
      <c r="P4" s="86"/>
      <c r="Q4" s="88" t="s">
        <v>137</v>
      </c>
      <c r="R4" s="88"/>
      <c r="S4" s="88"/>
      <c r="T4" s="87">
        <f>COUNTIF(CLEAN_DATA!$M$2:$M$67,"Yes")</f>
        <v>27</v>
      </c>
      <c r="U4" s="86"/>
      <c r="V4" s="86"/>
    </row>
    <row r="5" spans="1:22" x14ac:dyDescent="0.3">
      <c r="A5" s="82"/>
      <c r="B5" s="82"/>
      <c r="C5" s="82"/>
      <c r="D5" s="86"/>
      <c r="E5" s="82"/>
      <c r="F5" s="82"/>
      <c r="G5" s="82"/>
      <c r="H5" s="86"/>
      <c r="I5" s="82"/>
      <c r="J5" s="82"/>
      <c r="K5" s="83"/>
      <c r="L5" s="86"/>
      <c r="M5" s="82"/>
      <c r="N5" s="82"/>
      <c r="O5" s="82"/>
      <c r="P5" s="86"/>
      <c r="Q5" s="88"/>
      <c r="R5" s="88"/>
      <c r="S5" s="88"/>
      <c r="T5" s="87"/>
      <c r="U5" s="86"/>
      <c r="V5" s="86"/>
    </row>
    <row r="6" spans="1:22" x14ac:dyDescent="0.3">
      <c r="A6" s="82"/>
      <c r="B6" s="82"/>
      <c r="C6" s="82"/>
      <c r="D6" s="86"/>
      <c r="E6" s="82"/>
      <c r="F6" s="82"/>
      <c r="G6" s="82"/>
      <c r="H6" s="86"/>
      <c r="I6" s="82"/>
      <c r="J6" s="82"/>
      <c r="K6" s="83"/>
      <c r="L6" s="86"/>
      <c r="M6" s="82"/>
      <c r="N6" s="82"/>
      <c r="O6" s="82"/>
      <c r="P6" s="86"/>
      <c r="Q6" s="88"/>
      <c r="R6" s="88"/>
      <c r="S6" s="88"/>
      <c r="T6" s="87"/>
      <c r="U6" s="86"/>
      <c r="V6" s="86"/>
    </row>
    <row r="7" spans="1:22" x14ac:dyDescent="0.3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</row>
    <row r="8" spans="1:22" x14ac:dyDescent="0.3">
      <c r="A8" s="85"/>
      <c r="B8" s="85"/>
      <c r="C8" s="85"/>
      <c r="D8" s="85"/>
      <c r="E8" s="85"/>
      <c r="F8" s="85"/>
      <c r="G8" s="85"/>
      <c r="H8" s="86"/>
      <c r="I8" s="85"/>
      <c r="J8" s="85"/>
      <c r="K8" s="85"/>
      <c r="L8" s="85"/>
      <c r="M8" s="85"/>
      <c r="N8" s="85"/>
      <c r="O8" s="86"/>
      <c r="P8" s="85"/>
      <c r="Q8" s="85"/>
      <c r="R8" s="85"/>
      <c r="S8" s="85"/>
      <c r="T8" s="85"/>
      <c r="U8" s="85"/>
      <c r="V8" s="85"/>
    </row>
    <row r="9" spans="1:22" x14ac:dyDescent="0.3">
      <c r="A9" s="85"/>
      <c r="B9" s="85"/>
      <c r="C9" s="85"/>
      <c r="D9" s="85"/>
      <c r="E9" s="85"/>
      <c r="F9" s="85"/>
      <c r="G9" s="85"/>
      <c r="H9" s="86"/>
      <c r="I9" s="85"/>
      <c r="J9" s="85"/>
      <c r="K9" s="85"/>
      <c r="L9" s="85"/>
      <c r="M9" s="85"/>
      <c r="N9" s="85"/>
      <c r="O9" s="86"/>
      <c r="P9" s="85"/>
      <c r="Q9" s="85"/>
      <c r="R9" s="85"/>
      <c r="S9" s="85"/>
      <c r="T9" s="85"/>
      <c r="U9" s="85"/>
      <c r="V9" s="85"/>
    </row>
    <row r="10" spans="1:22" x14ac:dyDescent="0.3">
      <c r="A10" s="85"/>
      <c r="B10" s="85"/>
      <c r="C10" s="85"/>
      <c r="D10" s="85"/>
      <c r="E10" s="85"/>
      <c r="F10" s="85"/>
      <c r="G10" s="85"/>
      <c r="H10" s="86"/>
      <c r="I10" s="85"/>
      <c r="J10" s="85"/>
      <c r="K10" s="85"/>
      <c r="L10" s="85"/>
      <c r="M10" s="85"/>
      <c r="N10" s="85"/>
      <c r="O10" s="86"/>
      <c r="P10" s="85"/>
      <c r="Q10" s="85"/>
      <c r="R10" s="85"/>
      <c r="S10" s="85"/>
      <c r="T10" s="85"/>
      <c r="U10" s="85"/>
      <c r="V10" s="85"/>
    </row>
    <row r="11" spans="1:22" x14ac:dyDescent="0.3">
      <c r="A11" s="85"/>
      <c r="B11" s="85"/>
      <c r="C11" s="85"/>
      <c r="D11" s="85"/>
      <c r="E11" s="85"/>
      <c r="F11" s="85"/>
      <c r="G11" s="85"/>
      <c r="H11" s="86"/>
      <c r="I11" s="85"/>
      <c r="J11" s="85"/>
      <c r="K11" s="85"/>
      <c r="L11" s="85"/>
      <c r="M11" s="85"/>
      <c r="N11" s="85"/>
      <c r="O11" s="86"/>
      <c r="P11" s="85"/>
      <c r="Q11" s="85"/>
      <c r="R11" s="85"/>
      <c r="S11" s="85"/>
      <c r="T11" s="85"/>
      <c r="U11" s="85"/>
      <c r="V11" s="85"/>
    </row>
    <row r="12" spans="1:22" x14ac:dyDescent="0.3">
      <c r="A12" s="85"/>
      <c r="B12" s="85"/>
      <c r="C12" s="85"/>
      <c r="D12" s="85"/>
      <c r="E12" s="85"/>
      <c r="F12" s="85"/>
      <c r="G12" s="85"/>
      <c r="H12" s="86"/>
      <c r="I12" s="85"/>
      <c r="J12" s="85"/>
      <c r="K12" s="85"/>
      <c r="L12" s="85"/>
      <c r="M12" s="85"/>
      <c r="N12" s="85"/>
      <c r="O12" s="86"/>
      <c r="P12" s="85"/>
      <c r="Q12" s="85"/>
      <c r="R12" s="85"/>
      <c r="S12" s="85"/>
      <c r="T12" s="85"/>
      <c r="U12" s="85"/>
      <c r="V12" s="85"/>
    </row>
    <row r="13" spans="1:22" x14ac:dyDescent="0.3">
      <c r="A13" s="85"/>
      <c r="B13" s="85"/>
      <c r="C13" s="85"/>
      <c r="D13" s="85"/>
      <c r="E13" s="85"/>
      <c r="F13" s="85"/>
      <c r="G13" s="85"/>
      <c r="H13" s="86"/>
      <c r="I13" s="85"/>
      <c r="J13" s="85"/>
      <c r="K13" s="85"/>
      <c r="L13" s="85"/>
      <c r="M13" s="85"/>
      <c r="N13" s="85"/>
      <c r="O13" s="86"/>
      <c r="P13" s="85"/>
      <c r="Q13" s="85"/>
      <c r="R13" s="85"/>
      <c r="S13" s="85"/>
      <c r="T13" s="85"/>
      <c r="U13" s="85"/>
      <c r="V13" s="85"/>
    </row>
    <row r="14" spans="1:22" x14ac:dyDescent="0.3">
      <c r="A14" s="85"/>
      <c r="B14" s="85"/>
      <c r="C14" s="85"/>
      <c r="D14" s="85"/>
      <c r="E14" s="85"/>
      <c r="F14" s="85"/>
      <c r="G14" s="85"/>
      <c r="H14" s="86"/>
      <c r="I14" s="85"/>
      <c r="J14" s="85"/>
      <c r="K14" s="85"/>
      <c r="L14" s="85"/>
      <c r="M14" s="85"/>
      <c r="N14" s="85"/>
      <c r="O14" s="86"/>
      <c r="P14" s="85"/>
      <c r="Q14" s="85"/>
      <c r="R14" s="85"/>
      <c r="S14" s="85"/>
      <c r="T14" s="85"/>
      <c r="U14" s="85"/>
      <c r="V14" s="85"/>
    </row>
    <row r="15" spans="1:22" x14ac:dyDescent="0.3">
      <c r="A15" s="85"/>
      <c r="B15" s="85"/>
      <c r="C15" s="85"/>
      <c r="D15" s="85"/>
      <c r="E15" s="85"/>
      <c r="F15" s="85"/>
      <c r="G15" s="85"/>
      <c r="H15" s="86"/>
      <c r="I15" s="85"/>
      <c r="J15" s="85"/>
      <c r="K15" s="85"/>
      <c r="L15" s="85"/>
      <c r="M15" s="85"/>
      <c r="N15" s="85"/>
      <c r="O15" s="86"/>
      <c r="P15" s="85"/>
      <c r="Q15" s="85"/>
      <c r="R15" s="85"/>
      <c r="S15" s="85"/>
      <c r="T15" s="85"/>
      <c r="U15" s="85"/>
      <c r="V15" s="85"/>
    </row>
    <row r="16" spans="1:22" x14ac:dyDescent="0.3">
      <c r="A16" s="85"/>
      <c r="B16" s="85"/>
      <c r="C16" s="85"/>
      <c r="D16" s="85"/>
      <c r="E16" s="85"/>
      <c r="F16" s="85"/>
      <c r="G16" s="85"/>
      <c r="H16" s="86"/>
      <c r="I16" s="85"/>
      <c r="J16" s="85"/>
      <c r="K16" s="85"/>
      <c r="L16" s="85"/>
      <c r="M16" s="85"/>
      <c r="N16" s="85"/>
      <c r="O16" s="86"/>
      <c r="P16" s="85"/>
      <c r="Q16" s="85"/>
      <c r="R16" s="85"/>
      <c r="S16" s="85"/>
      <c r="T16" s="85"/>
      <c r="U16" s="85"/>
      <c r="V16" s="85"/>
    </row>
    <row r="17" spans="1:22" x14ac:dyDescent="0.3">
      <c r="A17" s="85"/>
      <c r="B17" s="85"/>
      <c r="C17" s="85"/>
      <c r="D17" s="85"/>
      <c r="E17" s="85"/>
      <c r="F17" s="85"/>
      <c r="G17" s="85"/>
      <c r="H17" s="86"/>
      <c r="I17" s="85"/>
      <c r="J17" s="85"/>
      <c r="K17" s="85"/>
      <c r="L17" s="85"/>
      <c r="M17" s="85"/>
      <c r="N17" s="85"/>
      <c r="O17" s="86"/>
      <c r="P17" s="85"/>
      <c r="Q17" s="85"/>
      <c r="R17" s="85"/>
      <c r="S17" s="85"/>
      <c r="T17" s="85"/>
      <c r="U17" s="85"/>
      <c r="V17" s="85"/>
    </row>
    <row r="18" spans="1:22" x14ac:dyDescent="0.3">
      <c r="A18" s="85"/>
      <c r="B18" s="85"/>
      <c r="C18" s="85"/>
      <c r="D18" s="85"/>
      <c r="E18" s="85"/>
      <c r="F18" s="85"/>
      <c r="G18" s="85"/>
      <c r="H18" s="86"/>
      <c r="I18" s="85"/>
      <c r="J18" s="85"/>
      <c r="K18" s="85"/>
      <c r="L18" s="85"/>
      <c r="M18" s="85"/>
      <c r="N18" s="85"/>
      <c r="O18" s="86"/>
      <c r="P18" s="85"/>
      <c r="Q18" s="85"/>
      <c r="R18" s="85"/>
      <c r="S18" s="85"/>
      <c r="T18" s="85"/>
      <c r="U18" s="85"/>
      <c r="V18" s="85"/>
    </row>
    <row r="19" spans="1:22" x14ac:dyDescent="0.3">
      <c r="A19" s="85"/>
      <c r="B19" s="85"/>
      <c r="C19" s="85"/>
      <c r="D19" s="85"/>
      <c r="E19" s="85"/>
      <c r="F19" s="85"/>
      <c r="G19" s="85"/>
      <c r="H19" s="86"/>
      <c r="I19" s="85"/>
      <c r="J19" s="85"/>
      <c r="K19" s="85"/>
      <c r="L19" s="85"/>
      <c r="M19" s="85"/>
      <c r="N19" s="85"/>
      <c r="O19" s="86"/>
      <c r="P19" s="85"/>
      <c r="Q19" s="85"/>
      <c r="R19" s="85"/>
      <c r="S19" s="85"/>
      <c r="T19" s="85"/>
      <c r="U19" s="85"/>
      <c r="V19" s="85"/>
    </row>
    <row r="20" spans="1:22" x14ac:dyDescent="0.3">
      <c r="A20" s="85"/>
      <c r="B20" s="85"/>
      <c r="C20" s="85"/>
      <c r="D20" s="85"/>
      <c r="E20" s="85"/>
      <c r="F20" s="85"/>
      <c r="G20" s="85"/>
      <c r="H20" s="86"/>
      <c r="I20" s="85"/>
      <c r="J20" s="85"/>
      <c r="K20" s="85"/>
      <c r="L20" s="85"/>
      <c r="M20" s="85"/>
      <c r="N20" s="85"/>
      <c r="O20" s="86"/>
      <c r="P20" s="85"/>
      <c r="Q20" s="85"/>
      <c r="R20" s="85"/>
      <c r="S20" s="85"/>
      <c r="T20" s="85"/>
      <c r="U20" s="85"/>
      <c r="V20" s="85"/>
    </row>
    <row r="21" spans="1:22" x14ac:dyDescent="0.3">
      <c r="A21" s="85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</row>
    <row r="22" spans="1:22" x14ac:dyDescent="0.3">
      <c r="A22" s="85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</row>
    <row r="23" spans="1:22" x14ac:dyDescent="0.3">
      <c r="A23" s="85"/>
      <c r="B23" s="85"/>
      <c r="C23" s="85"/>
      <c r="D23" s="85"/>
      <c r="E23" s="85"/>
      <c r="F23" s="85"/>
      <c r="G23" s="85"/>
      <c r="H23" s="86"/>
      <c r="I23" s="85"/>
      <c r="J23" s="85"/>
      <c r="K23" s="85"/>
      <c r="L23" s="85"/>
      <c r="M23" s="85"/>
      <c r="N23" s="85"/>
      <c r="O23" s="86"/>
      <c r="P23" s="85"/>
      <c r="Q23" s="85"/>
      <c r="R23" s="85"/>
      <c r="S23" s="85"/>
      <c r="T23" s="85"/>
      <c r="U23" s="85"/>
      <c r="V23" s="85"/>
    </row>
    <row r="24" spans="1:22" x14ac:dyDescent="0.3">
      <c r="A24" s="85"/>
      <c r="B24" s="85"/>
      <c r="C24" s="85"/>
      <c r="D24" s="85"/>
      <c r="E24" s="85"/>
      <c r="F24" s="85"/>
      <c r="G24" s="85"/>
      <c r="H24" s="86"/>
      <c r="I24" s="85"/>
      <c r="J24" s="85"/>
      <c r="K24" s="85"/>
      <c r="L24" s="85"/>
      <c r="M24" s="85"/>
      <c r="N24" s="85"/>
      <c r="O24" s="86"/>
      <c r="P24" s="85"/>
      <c r="Q24" s="85"/>
      <c r="R24" s="85"/>
      <c r="S24" s="85"/>
      <c r="T24" s="85"/>
      <c r="U24" s="85"/>
      <c r="V24" s="85"/>
    </row>
    <row r="25" spans="1:22" x14ac:dyDescent="0.3">
      <c r="A25" s="85"/>
      <c r="B25" s="85"/>
      <c r="C25" s="85"/>
      <c r="D25" s="85"/>
      <c r="E25" s="85"/>
      <c r="F25" s="85"/>
      <c r="G25" s="85"/>
      <c r="H25" s="86"/>
      <c r="I25" s="85"/>
      <c r="J25" s="85"/>
      <c r="K25" s="85"/>
      <c r="L25" s="85"/>
      <c r="M25" s="85"/>
      <c r="N25" s="85"/>
      <c r="O25" s="86"/>
      <c r="P25" s="85"/>
      <c r="Q25" s="85"/>
      <c r="R25" s="85"/>
      <c r="S25" s="85"/>
      <c r="T25" s="85"/>
      <c r="U25" s="85"/>
      <c r="V25" s="85"/>
    </row>
    <row r="26" spans="1:22" x14ac:dyDescent="0.3">
      <c r="A26" s="85"/>
      <c r="B26" s="85"/>
      <c r="C26" s="85"/>
      <c r="D26" s="85"/>
      <c r="E26" s="85"/>
      <c r="F26" s="85"/>
      <c r="G26" s="85"/>
      <c r="H26" s="86"/>
      <c r="I26" s="85"/>
      <c r="J26" s="85"/>
      <c r="K26" s="85"/>
      <c r="L26" s="85"/>
      <c r="M26" s="85"/>
      <c r="N26" s="85"/>
      <c r="O26" s="86"/>
      <c r="P26" s="85"/>
      <c r="Q26" s="85"/>
      <c r="R26" s="85"/>
      <c r="S26" s="85"/>
      <c r="T26" s="85"/>
      <c r="U26" s="85"/>
      <c r="V26" s="85"/>
    </row>
    <row r="27" spans="1:22" x14ac:dyDescent="0.3">
      <c r="A27" s="85"/>
      <c r="B27" s="85"/>
      <c r="C27" s="85"/>
      <c r="D27" s="85"/>
      <c r="E27" s="85"/>
      <c r="F27" s="85"/>
      <c r="G27" s="85"/>
      <c r="H27" s="86"/>
      <c r="I27" s="85"/>
      <c r="J27" s="85"/>
      <c r="K27" s="85"/>
      <c r="L27" s="85"/>
      <c r="M27" s="85"/>
      <c r="N27" s="85"/>
      <c r="O27" s="86"/>
      <c r="P27" s="85"/>
      <c r="Q27" s="85"/>
      <c r="R27" s="85"/>
      <c r="S27" s="85"/>
      <c r="T27" s="85"/>
      <c r="U27" s="85"/>
      <c r="V27" s="85"/>
    </row>
    <row r="28" spans="1:22" x14ac:dyDescent="0.3">
      <c r="A28" s="85"/>
      <c r="B28" s="85"/>
      <c r="C28" s="85"/>
      <c r="D28" s="85"/>
      <c r="E28" s="85"/>
      <c r="F28" s="85"/>
      <c r="G28" s="85"/>
      <c r="H28" s="86"/>
      <c r="I28" s="85"/>
      <c r="J28" s="85"/>
      <c r="K28" s="85"/>
      <c r="L28" s="85"/>
      <c r="M28" s="85"/>
      <c r="N28" s="85"/>
      <c r="O28" s="86"/>
      <c r="P28" s="85"/>
      <c r="Q28" s="85"/>
      <c r="R28" s="85"/>
      <c r="S28" s="85"/>
      <c r="T28" s="85"/>
      <c r="U28" s="85"/>
      <c r="V28" s="85"/>
    </row>
    <row r="29" spans="1:22" x14ac:dyDescent="0.3">
      <c r="A29" s="85"/>
      <c r="B29" s="85"/>
      <c r="C29" s="85"/>
      <c r="D29" s="85"/>
      <c r="E29" s="85"/>
      <c r="F29" s="85"/>
      <c r="G29" s="85"/>
      <c r="H29" s="86"/>
      <c r="I29" s="85"/>
      <c r="J29" s="85"/>
      <c r="K29" s="85"/>
      <c r="L29" s="85"/>
      <c r="M29" s="85"/>
      <c r="N29" s="85"/>
      <c r="O29" s="86"/>
      <c r="P29" s="85"/>
      <c r="Q29" s="85"/>
      <c r="R29" s="85"/>
      <c r="S29" s="85"/>
      <c r="T29" s="85"/>
      <c r="U29" s="85"/>
      <c r="V29" s="85"/>
    </row>
    <row r="30" spans="1:22" x14ac:dyDescent="0.3">
      <c r="A30" s="85"/>
      <c r="B30" s="85"/>
      <c r="C30" s="85"/>
      <c r="D30" s="85"/>
      <c r="E30" s="85"/>
      <c r="F30" s="85"/>
      <c r="G30" s="85"/>
      <c r="H30" s="86"/>
      <c r="I30" s="85"/>
      <c r="J30" s="85"/>
      <c r="K30" s="85"/>
      <c r="L30" s="85"/>
      <c r="M30" s="85"/>
      <c r="N30" s="85"/>
      <c r="O30" s="86"/>
      <c r="P30" s="85"/>
      <c r="Q30" s="85"/>
      <c r="R30" s="85"/>
      <c r="S30" s="85"/>
      <c r="T30" s="85"/>
      <c r="U30" s="85"/>
      <c r="V30" s="85"/>
    </row>
    <row r="31" spans="1:22" x14ac:dyDescent="0.3">
      <c r="A31" s="85"/>
      <c r="B31" s="85"/>
      <c r="C31" s="85"/>
      <c r="D31" s="85"/>
      <c r="E31" s="85"/>
      <c r="F31" s="85"/>
      <c r="G31" s="85"/>
      <c r="H31" s="86"/>
      <c r="I31" s="85"/>
      <c r="J31" s="85"/>
      <c r="K31" s="85"/>
      <c r="L31" s="85"/>
      <c r="M31" s="85"/>
      <c r="N31" s="85"/>
      <c r="O31" s="86"/>
      <c r="P31" s="85"/>
      <c r="Q31" s="85"/>
      <c r="R31" s="85"/>
      <c r="S31" s="85"/>
      <c r="T31" s="85"/>
      <c r="U31" s="85"/>
      <c r="V31" s="85"/>
    </row>
    <row r="32" spans="1:22" x14ac:dyDescent="0.3">
      <c r="A32" s="85"/>
      <c r="B32" s="85"/>
      <c r="C32" s="85"/>
      <c r="D32" s="85"/>
      <c r="E32" s="85"/>
      <c r="F32" s="85"/>
      <c r="G32" s="85"/>
      <c r="H32" s="86"/>
      <c r="I32" s="85"/>
      <c r="J32" s="85"/>
      <c r="K32" s="85"/>
      <c r="L32" s="85"/>
      <c r="M32" s="85"/>
      <c r="N32" s="85"/>
      <c r="O32" s="86"/>
      <c r="P32" s="85"/>
      <c r="Q32" s="85"/>
      <c r="R32" s="85"/>
      <c r="S32" s="85"/>
      <c r="T32" s="85"/>
      <c r="U32" s="85"/>
      <c r="V32" s="85"/>
    </row>
    <row r="33" spans="1:22" x14ac:dyDescent="0.3">
      <c r="A33" s="85"/>
      <c r="B33" s="85"/>
      <c r="C33" s="85"/>
      <c r="D33" s="85"/>
      <c r="E33" s="85"/>
      <c r="F33" s="85"/>
      <c r="G33" s="85"/>
      <c r="H33" s="86"/>
      <c r="I33" s="85"/>
      <c r="J33" s="85"/>
      <c r="K33" s="85"/>
      <c r="L33" s="85"/>
      <c r="M33" s="85"/>
      <c r="N33" s="85"/>
      <c r="O33" s="86"/>
      <c r="P33" s="85"/>
      <c r="Q33" s="85"/>
      <c r="R33" s="85"/>
      <c r="S33" s="85"/>
      <c r="T33" s="85"/>
      <c r="U33" s="85"/>
      <c r="V33" s="85"/>
    </row>
    <row r="34" spans="1:22" x14ac:dyDescent="0.3">
      <c r="A34" s="85"/>
      <c r="B34" s="85"/>
      <c r="C34" s="85"/>
      <c r="D34" s="85"/>
      <c r="E34" s="85"/>
      <c r="F34" s="85"/>
      <c r="G34" s="85"/>
      <c r="H34" s="86"/>
      <c r="I34" s="85"/>
      <c r="J34" s="85"/>
      <c r="K34" s="85"/>
      <c r="L34" s="85"/>
      <c r="M34" s="85"/>
      <c r="N34" s="85"/>
      <c r="O34" s="86"/>
      <c r="P34" s="85"/>
      <c r="Q34" s="85"/>
      <c r="R34" s="85"/>
      <c r="S34" s="85"/>
      <c r="T34" s="85"/>
      <c r="U34" s="85"/>
      <c r="V34" s="85"/>
    </row>
    <row r="35" spans="1:22" x14ac:dyDescent="0.3">
      <c r="A35" s="85"/>
      <c r="B35" s="85"/>
      <c r="C35" s="85"/>
      <c r="D35" s="85"/>
      <c r="E35" s="85"/>
      <c r="F35" s="85"/>
      <c r="G35" s="85"/>
      <c r="H35" s="86"/>
      <c r="I35" s="85"/>
      <c r="J35" s="85"/>
      <c r="K35" s="85"/>
      <c r="L35" s="85"/>
      <c r="M35" s="85"/>
      <c r="N35" s="85"/>
      <c r="O35" s="86"/>
      <c r="P35" s="85"/>
      <c r="Q35" s="85"/>
      <c r="R35" s="85"/>
      <c r="S35" s="85"/>
      <c r="T35" s="85"/>
      <c r="U35" s="85"/>
      <c r="V35" s="85"/>
    </row>
    <row r="36" spans="1:22" x14ac:dyDescent="0.3">
      <c r="A36" s="89"/>
      <c r="B36" s="89"/>
      <c r="C36" s="89"/>
      <c r="D36" s="89"/>
      <c r="E36" s="89"/>
      <c r="F36" s="89"/>
      <c r="G36" s="89"/>
      <c r="H36" s="90"/>
      <c r="I36" s="89"/>
      <c r="J36" s="89"/>
      <c r="K36" s="89"/>
      <c r="L36" s="89"/>
      <c r="M36" s="89"/>
      <c r="N36" s="89"/>
      <c r="O36" s="90"/>
      <c r="P36" s="89"/>
      <c r="Q36" s="89"/>
      <c r="R36" s="89"/>
      <c r="S36" s="89"/>
      <c r="T36" s="89"/>
      <c r="U36" s="89"/>
      <c r="V36" s="89"/>
    </row>
    <row r="37" spans="1:22" x14ac:dyDescent="0.3">
      <c r="A37" s="91" t="s">
        <v>152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</row>
    <row r="38" spans="1:22" x14ac:dyDescent="0.3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</row>
    <row r="39" spans="1:22" x14ac:dyDescent="0.3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</row>
    <row r="40" spans="1:22" x14ac:dyDescent="0.3">
      <c r="A40" s="89"/>
      <c r="B40" s="92" t="s">
        <v>153</v>
      </c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</row>
    <row r="41" spans="1:22" x14ac:dyDescent="0.3">
      <c r="A41" s="89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</row>
    <row r="42" spans="1:22" x14ac:dyDescent="0.3">
      <c r="A42" s="89"/>
      <c r="B42" s="92" t="s">
        <v>154</v>
      </c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</row>
    <row r="43" spans="1:22" x14ac:dyDescent="0.3">
      <c r="A43" s="89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</row>
    <row r="44" spans="1:22" x14ac:dyDescent="0.3">
      <c r="A44" s="89"/>
      <c r="B44" s="92" t="s">
        <v>155</v>
      </c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</row>
    <row r="45" spans="1:22" x14ac:dyDescent="0.3">
      <c r="A45" s="89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</row>
    <row r="46" spans="1:22" x14ac:dyDescent="0.3">
      <c r="A46" s="89"/>
      <c r="B46" s="92" t="s">
        <v>156</v>
      </c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</row>
    <row r="47" spans="1:22" x14ac:dyDescent="0.3">
      <c r="A47" s="89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</row>
    <row r="48" spans="1:22" x14ac:dyDescent="0.3">
      <c r="A48" s="89"/>
      <c r="B48" s="92" t="s">
        <v>157</v>
      </c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</row>
    <row r="49" spans="1:22" x14ac:dyDescent="0.3">
      <c r="A49" s="89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  <row r="50" spans="1:22" x14ac:dyDescent="0.3">
      <c r="A50" s="89"/>
      <c r="B50" s="92" t="s">
        <v>158</v>
      </c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</row>
    <row r="51" spans="1:22" x14ac:dyDescent="0.3">
      <c r="A51" s="89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</row>
    <row r="52" spans="1:22" x14ac:dyDescent="0.3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</row>
    <row r="53" spans="1:22" x14ac:dyDescent="0.3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</row>
  </sheetData>
  <mergeCells count="18">
    <mergeCell ref="B46:V47"/>
    <mergeCell ref="B48:V49"/>
    <mergeCell ref="B50:V51"/>
    <mergeCell ref="Q4:S6"/>
    <mergeCell ref="T4:T6"/>
    <mergeCell ref="A37:V39"/>
    <mergeCell ref="B40:V41"/>
    <mergeCell ref="B42:V43"/>
    <mergeCell ref="B44:V45"/>
    <mergeCell ref="A1:V2"/>
    <mergeCell ref="A4:B6"/>
    <mergeCell ref="C4:C6"/>
    <mergeCell ref="E4:F6"/>
    <mergeCell ref="G4:G6"/>
    <mergeCell ref="I4:J6"/>
    <mergeCell ref="K4:K6"/>
    <mergeCell ref="M4:N6"/>
    <mergeCell ref="O4:O6"/>
  </mergeCells>
  <pageMargins left="0.25" right="0.25" top="0.75" bottom="0.75" header="0.3" footer="0.3"/>
  <pageSetup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CLEAN_DATA</vt:lpstr>
      <vt:lpstr>Counsellor Analysis</vt:lpstr>
      <vt:lpstr>Chat_Call Analysis</vt:lpstr>
      <vt:lpstr>Conversion Analysis</vt:lpstr>
      <vt:lpstr>Course_State Analysis</vt:lpstr>
      <vt:lpstr>Assumptions &amp; Methodology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 Thakur</dc:creator>
  <cp:lastModifiedBy>Sujit Thakur</cp:lastModifiedBy>
  <cp:lastPrinted>2026-09-13T13:54:14Z</cp:lastPrinted>
  <dcterms:created xsi:type="dcterms:W3CDTF">2026-09-13T06:32:38Z</dcterms:created>
  <dcterms:modified xsi:type="dcterms:W3CDTF">2026-09-13T17:31:35Z</dcterms:modified>
</cp:coreProperties>
</file>